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32ngu\Desktop\SME\data\"/>
    </mc:Choice>
  </mc:AlternateContent>
  <xr:revisionPtr revIDLastSave="0" documentId="13_ncr:1_{822B2EA2-1F8E-4BBE-B671-3C2F3E1AEF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5" i="1" l="1"/>
  <c r="F95" i="1"/>
  <c r="M95" i="1" s="1"/>
  <c r="L94" i="1"/>
  <c r="F94" i="1"/>
  <c r="M94" i="1" s="1"/>
  <c r="L93" i="1"/>
  <c r="F93" i="1"/>
  <c r="M93" i="1" s="1"/>
  <c r="L92" i="1"/>
  <c r="F92" i="1"/>
  <c r="M92" i="1" s="1"/>
  <c r="L91" i="1"/>
  <c r="F91" i="1"/>
  <c r="M91" i="1" s="1"/>
  <c r="L90" i="1"/>
  <c r="F90" i="1"/>
  <c r="M90" i="1" s="1"/>
  <c r="L89" i="1"/>
  <c r="F89" i="1"/>
  <c r="M89" i="1" s="1"/>
  <c r="L88" i="1"/>
  <c r="F88" i="1"/>
  <c r="M88" i="1" s="1"/>
  <c r="L87" i="1"/>
  <c r="F87" i="1"/>
  <c r="M87" i="1" s="1"/>
  <c r="L86" i="1"/>
  <c r="F86" i="1"/>
  <c r="M86" i="1" s="1"/>
  <c r="L85" i="1"/>
  <c r="F85" i="1"/>
  <c r="M85" i="1" s="1"/>
  <c r="L84" i="1"/>
  <c r="F84" i="1"/>
  <c r="M84" i="1" s="1"/>
  <c r="L83" i="1"/>
  <c r="F83" i="1"/>
  <c r="M83" i="1" s="1"/>
  <c r="L82" i="1"/>
  <c r="F82" i="1"/>
  <c r="M82" i="1" s="1"/>
  <c r="L81" i="1"/>
  <c r="F81" i="1"/>
  <c r="M81" i="1" s="1"/>
  <c r="L80" i="1"/>
  <c r="F80" i="1"/>
  <c r="M80" i="1" s="1"/>
  <c r="L79" i="1"/>
  <c r="F79" i="1"/>
  <c r="M79" i="1" s="1"/>
  <c r="L78" i="1"/>
  <c r="F78" i="1"/>
  <c r="M78" i="1" s="1"/>
  <c r="L77" i="1"/>
  <c r="F77" i="1"/>
  <c r="M77" i="1" s="1"/>
  <c r="L76" i="1"/>
  <c r="F76" i="1"/>
  <c r="M76" i="1" s="1"/>
  <c r="L75" i="1"/>
  <c r="F75" i="1"/>
  <c r="M75" i="1" s="1"/>
  <c r="L74" i="1"/>
  <c r="F74" i="1"/>
  <c r="M74" i="1" s="1"/>
  <c r="L73" i="1"/>
  <c r="F73" i="1"/>
  <c r="M73" i="1" s="1"/>
  <c r="L72" i="1"/>
  <c r="F72" i="1"/>
  <c r="M72" i="1" s="1"/>
  <c r="L71" i="1"/>
  <c r="F71" i="1"/>
  <c r="M71" i="1" s="1"/>
  <c r="L70" i="1"/>
  <c r="F70" i="1"/>
  <c r="M70" i="1" s="1"/>
  <c r="L69" i="1"/>
  <c r="F69" i="1"/>
  <c r="M69" i="1" s="1"/>
  <c r="L68" i="1"/>
  <c r="F68" i="1"/>
  <c r="M68" i="1" s="1"/>
  <c r="L67" i="1"/>
  <c r="F67" i="1"/>
  <c r="M67" i="1" s="1"/>
  <c r="L66" i="1"/>
  <c r="F66" i="1"/>
  <c r="M66" i="1" s="1"/>
  <c r="L65" i="1"/>
  <c r="F65" i="1"/>
  <c r="M65" i="1" s="1"/>
  <c r="L64" i="1"/>
  <c r="F64" i="1"/>
  <c r="M64" i="1" s="1"/>
  <c r="L63" i="1"/>
  <c r="F63" i="1"/>
  <c r="M63" i="1" s="1"/>
  <c r="L62" i="1"/>
  <c r="F62" i="1"/>
  <c r="M62" i="1" s="1"/>
  <c r="L61" i="1"/>
  <c r="F61" i="1"/>
  <c r="M61" i="1" s="1"/>
  <c r="L60" i="1"/>
  <c r="F60" i="1"/>
  <c r="M60" i="1" s="1"/>
  <c r="L59" i="1"/>
  <c r="F59" i="1"/>
  <c r="M59" i="1" s="1"/>
  <c r="L58" i="1"/>
  <c r="F58" i="1"/>
  <c r="M58" i="1" s="1"/>
  <c r="L57" i="1"/>
  <c r="F57" i="1"/>
  <c r="M57" i="1" s="1"/>
  <c r="L56" i="1"/>
  <c r="F56" i="1"/>
  <c r="M56" i="1" s="1"/>
  <c r="L55" i="1"/>
  <c r="F55" i="1"/>
  <c r="M55" i="1" s="1"/>
  <c r="L54" i="1"/>
  <c r="F54" i="1"/>
  <c r="M54" i="1" s="1"/>
  <c r="L53" i="1"/>
  <c r="F53" i="1"/>
  <c r="M53" i="1" s="1"/>
  <c r="L52" i="1"/>
  <c r="F52" i="1"/>
  <c r="M52" i="1" s="1"/>
  <c r="L51" i="1"/>
  <c r="F51" i="1"/>
  <c r="M51" i="1" s="1"/>
  <c r="L50" i="1"/>
  <c r="F50" i="1"/>
  <c r="M50" i="1" s="1"/>
  <c r="L49" i="1"/>
  <c r="F49" i="1"/>
  <c r="M49" i="1" s="1"/>
  <c r="L48" i="1"/>
  <c r="F48" i="1"/>
  <c r="M48" i="1" s="1"/>
  <c r="L47" i="1"/>
  <c r="F47" i="1"/>
  <c r="M47" i="1" s="1"/>
  <c r="L46" i="1"/>
  <c r="F46" i="1"/>
  <c r="M46" i="1" s="1"/>
  <c r="L45" i="1"/>
  <c r="F45" i="1"/>
  <c r="M45" i="1" s="1"/>
  <c r="L44" i="1"/>
  <c r="F44" i="1"/>
  <c r="M44" i="1" s="1"/>
  <c r="L43" i="1"/>
  <c r="F43" i="1"/>
  <c r="M43" i="1" s="1"/>
  <c r="L42" i="1"/>
  <c r="F42" i="1"/>
  <c r="M42" i="1" s="1"/>
  <c r="L41" i="1"/>
  <c r="F41" i="1"/>
  <c r="M41" i="1" s="1"/>
  <c r="L40" i="1"/>
  <c r="F40" i="1"/>
  <c r="M40" i="1" s="1"/>
  <c r="L39" i="1"/>
  <c r="F39" i="1"/>
  <c r="M39" i="1" s="1"/>
  <c r="L38" i="1"/>
  <c r="F38" i="1"/>
  <c r="M38" i="1" s="1"/>
  <c r="L37" i="1"/>
  <c r="F37" i="1"/>
  <c r="M37" i="1" s="1"/>
  <c r="L36" i="1"/>
  <c r="F36" i="1"/>
  <c r="M36" i="1" s="1"/>
  <c r="L35" i="1"/>
  <c r="F35" i="1"/>
  <c r="M35" i="1" s="1"/>
  <c r="L34" i="1"/>
  <c r="F34" i="1"/>
  <c r="M34" i="1" s="1"/>
  <c r="L33" i="1"/>
  <c r="F33" i="1"/>
  <c r="M33" i="1" s="1"/>
  <c r="L32" i="1"/>
  <c r="F32" i="1"/>
  <c r="M32" i="1" s="1"/>
  <c r="L31" i="1"/>
  <c r="F31" i="1"/>
  <c r="M31" i="1" s="1"/>
  <c r="L30" i="1"/>
  <c r="F30" i="1"/>
  <c r="M30" i="1" s="1"/>
  <c r="L29" i="1"/>
  <c r="F29" i="1"/>
  <c r="M29" i="1" s="1"/>
  <c r="L28" i="1"/>
  <c r="F28" i="1"/>
  <c r="M28" i="1" s="1"/>
  <c r="L27" i="1"/>
  <c r="F27" i="1"/>
  <c r="M27" i="1" s="1"/>
  <c r="L26" i="1"/>
  <c r="F26" i="1"/>
  <c r="M26" i="1" s="1"/>
  <c r="L25" i="1"/>
  <c r="F25" i="1"/>
  <c r="M25" i="1" s="1"/>
  <c r="L24" i="1"/>
  <c r="F24" i="1"/>
  <c r="M24" i="1" s="1"/>
  <c r="L23" i="1"/>
  <c r="F23" i="1"/>
  <c r="M23" i="1" s="1"/>
  <c r="L22" i="1"/>
  <c r="F22" i="1"/>
  <c r="M22" i="1" s="1"/>
  <c r="L21" i="1"/>
  <c r="F21" i="1"/>
  <c r="M21" i="1" s="1"/>
  <c r="L20" i="1"/>
  <c r="F20" i="1"/>
  <c r="M20" i="1" s="1"/>
  <c r="L19" i="1"/>
  <c r="F19" i="1"/>
  <c r="M19" i="1" s="1"/>
  <c r="L18" i="1"/>
  <c r="F18" i="1"/>
  <c r="M18" i="1" s="1"/>
  <c r="L17" i="1"/>
  <c r="F17" i="1"/>
  <c r="M17" i="1" s="1"/>
  <c r="L16" i="1"/>
  <c r="F16" i="1"/>
  <c r="M16" i="1" s="1"/>
  <c r="L15" i="1"/>
  <c r="F15" i="1"/>
  <c r="M15" i="1" s="1"/>
  <c r="L14" i="1"/>
  <c r="F14" i="1"/>
  <c r="M14" i="1" s="1"/>
  <c r="L13" i="1"/>
  <c r="F13" i="1"/>
  <c r="M13" i="1" s="1"/>
  <c r="L12" i="1"/>
  <c r="F12" i="1"/>
  <c r="M12" i="1" s="1"/>
  <c r="L11" i="1"/>
  <c r="F11" i="1"/>
  <c r="M11" i="1" s="1"/>
  <c r="L10" i="1"/>
  <c r="F10" i="1"/>
  <c r="M10" i="1" s="1"/>
  <c r="L9" i="1"/>
  <c r="F9" i="1"/>
  <c r="M9" i="1" s="1"/>
  <c r="L8" i="1"/>
  <c r="F8" i="1"/>
  <c r="M8" i="1" s="1"/>
  <c r="L7" i="1"/>
  <c r="F7" i="1"/>
  <c r="M7" i="1" s="1"/>
  <c r="L6" i="1"/>
  <c r="F6" i="1"/>
  <c r="M6" i="1" s="1"/>
  <c r="L5" i="1"/>
  <c r="F5" i="1"/>
  <c r="M5" i="1" s="1"/>
  <c r="L4" i="1"/>
  <c r="F4" i="1"/>
  <c r="M4" i="1" s="1"/>
  <c r="L3" i="1"/>
  <c r="F3" i="1"/>
  <c r="M3" i="1" s="1"/>
  <c r="L2" i="1"/>
  <c r="F2" i="1"/>
  <c r="M2" i="1" s="1"/>
</calcChain>
</file>

<file path=xl/sharedStrings.xml><?xml version="1.0" encoding="utf-8"?>
<sst xmlns="http://schemas.openxmlformats.org/spreadsheetml/2006/main" count="854" uniqueCount="366">
  <si>
    <t>STT</t>
  </si>
  <si>
    <t>Material Number/ Mã vật tư</t>
  </si>
  <si>
    <t>LOẠI VẬT LIỆU</t>
  </si>
  <si>
    <t>NHÓM VẬT LIỆU</t>
  </si>
  <si>
    <t>TÊN VẬT LIỆU</t>
  </si>
  <si>
    <t>TÊN GỌI MỚI SAU NÀY</t>
  </si>
  <si>
    <t>NHÓM NĂNG SUẤT</t>
  </si>
  <si>
    <t>TÊN GỌI CŨ TRÊN SAP</t>
  </si>
  <si>
    <t>KÝ TỰ 
NHÀ MÁY</t>
  </si>
  <si>
    <t>KÍ HIỆU</t>
  </si>
  <si>
    <t>ID</t>
  </si>
  <si>
    <t>ĐỘ DÀI
KÝ TỰ</t>
  </si>
  <si>
    <t>100000451598</t>
  </si>
  <si>
    <t>ĐÁ</t>
  </si>
  <si>
    <t>BAZAN</t>
  </si>
  <si>
    <t>ĐEN</t>
  </si>
  <si>
    <t>C</t>
  </si>
  <si>
    <t>ĐÁ ĐEN BAZAN</t>
  </si>
  <si>
    <t>AA</t>
  </si>
  <si>
    <t>BZ</t>
  </si>
  <si>
    <t>001</t>
  </si>
  <si>
    <t>100000474067</t>
  </si>
  <si>
    <t>GRANITE</t>
  </si>
  <si>
    <t>TRẮNG BÌNH ĐỊNH</t>
  </si>
  <si>
    <t>A</t>
  </si>
  <si>
    <t>ĐÁ TRẮNG BÌNH ĐỊNH</t>
  </si>
  <si>
    <t>GN</t>
  </si>
  <si>
    <t>003</t>
  </si>
  <si>
    <t>100000446895</t>
  </si>
  <si>
    <t>ABSOLUTE BLACK</t>
  </si>
  <si>
    <t>ĐÁ ABSOLUTE BLACK</t>
  </si>
  <si>
    <t>100000443841</t>
  </si>
  <si>
    <t>MARKINO BLACK</t>
  </si>
  <si>
    <t>ĐÁ-MARKINO_BLACK</t>
  </si>
  <si>
    <t>009</t>
  </si>
  <si>
    <t>100000451698</t>
  </si>
  <si>
    <t>KIM SA TRUNG</t>
  </si>
  <si>
    <t>F</t>
  </si>
  <si>
    <t>ĐÁ-KIM SA_TRUNG</t>
  </si>
  <si>
    <t>006</t>
  </si>
  <si>
    <t>100000448092</t>
  </si>
  <si>
    <t>SUPER BLACK</t>
  </si>
  <si>
    <t>DA SUPER BLACK</t>
  </si>
  <si>
    <t>010</t>
  </si>
  <si>
    <t>100000466614</t>
  </si>
  <si>
    <t>INDIA WHITE</t>
  </si>
  <si>
    <t>DA INDIA WHITE GRANITE</t>
  </si>
  <si>
    <t>002</t>
  </si>
  <si>
    <t>100000473282</t>
  </si>
  <si>
    <t>ĐEN NGÂN HÀ</t>
  </si>
  <si>
    <t>ĐÁ-ĐEN NGÂN HÀ</t>
  </si>
  <si>
    <t>004</t>
  </si>
  <si>
    <t>ĐEN PHÚ YÊN</t>
  </si>
  <si>
    <t>ĐÁ ĐEN PHÚ YÊN</t>
  </si>
  <si>
    <t>008</t>
  </si>
  <si>
    <t>100000472537</t>
  </si>
  <si>
    <t>XÁM SA MẠC</t>
  </si>
  <si>
    <t>DA-GRANITE SA MAC-XAM</t>
  </si>
  <si>
    <t>005</t>
  </si>
  <si>
    <t>100000473806</t>
  </si>
  <si>
    <t>RUBY RED</t>
  </si>
  <si>
    <t>ĐÁ-RUBY RED GRANITE</t>
  </si>
  <si>
    <t>007</t>
  </si>
  <si>
    <t>100000470839</t>
  </si>
  <si>
    <t>MARBLE</t>
  </si>
  <si>
    <t>DARK GREY EMPERADOR</t>
  </si>
  <si>
    <t>B</t>
  </si>
  <si>
    <t>ĐÁ-DARK GREY EMPERADOR</t>
  </si>
  <si>
    <t>MB</t>
  </si>
  <si>
    <t>021</t>
  </si>
  <si>
    <t>100000462811</t>
  </si>
  <si>
    <t>ATHEN GOLDEN FLOWER</t>
  </si>
  <si>
    <t>G</t>
  </si>
  <si>
    <t>ĐÁ-ATHEN GOLDEN FLOWER</t>
  </si>
  <si>
    <t>048</t>
  </si>
  <si>
    <t>100000447257</t>
  </si>
  <si>
    <t>LIGHT EMPERADOR</t>
  </si>
  <si>
    <t>ĐÁ MABLE LIGHT EMPERADOR</t>
  </si>
  <si>
    <t>100000474019</t>
  </si>
  <si>
    <t>CALACATTA VIOLA</t>
  </si>
  <si>
    <t>D</t>
  </si>
  <si>
    <t>ĐÁ MARBLE-CALACATTA-VIOLA</t>
  </si>
  <si>
    <t>100000457952</t>
  </si>
  <si>
    <t>NOIR ST LAURENT</t>
  </si>
  <si>
    <t>ĐÁ-NOIR ST LAURENT MARBLE</t>
  </si>
  <si>
    <t>028</t>
  </si>
  <si>
    <t>100000471919</t>
  </si>
  <si>
    <t>VOLAKAS BUTERLY</t>
  </si>
  <si>
    <t>L</t>
  </si>
  <si>
    <t>ĐÁ-VOLAKAS BUTERLY</t>
  </si>
  <si>
    <t>034</t>
  </si>
  <si>
    <t>100000420858</t>
  </si>
  <si>
    <t>EMPERADOR GREY</t>
  </si>
  <si>
    <t>DA GREY EMPERADOR (M2)</t>
  </si>
  <si>
    <t>100000465457</t>
  </si>
  <si>
    <t>ROSSO ALICANTE</t>
  </si>
  <si>
    <t>ĐÁ-ROSSO ALICANTE</t>
  </si>
  <si>
    <t>049</t>
  </si>
  <si>
    <t>100000433186</t>
  </si>
  <si>
    <t>ORIENTAL WHITE</t>
  </si>
  <si>
    <t>J</t>
  </si>
  <si>
    <t>DA ORIENTAL WHITE (SLABS) (M2)</t>
  </si>
  <si>
    <t>043</t>
  </si>
  <si>
    <t>PLATTINUM GREY</t>
  </si>
  <si>
    <t>K</t>
  </si>
  <si>
    <t>ĐÁ_PLATTINUM GREY</t>
  </si>
  <si>
    <t>040</t>
  </si>
  <si>
    <t>100000465505</t>
  </si>
  <si>
    <t>VOLAKAS ÍT VÂN</t>
  </si>
  <si>
    <t>ĐÁ-VOLAKAS ÍT VÂN</t>
  </si>
  <si>
    <t>035</t>
  </si>
  <si>
    <t>100000449013</t>
  </si>
  <si>
    <t>CARRARA WHITE</t>
  </si>
  <si>
    <t>DA CARRARA WHITE</t>
  </si>
  <si>
    <t>100000470838</t>
  </si>
  <si>
    <t>FANTASY BLACK</t>
  </si>
  <si>
    <t>DA-FANTASY BLACK</t>
  </si>
  <si>
    <t>022</t>
  </si>
  <si>
    <t>100000451699</t>
  </si>
  <si>
    <t>NERO MARQUINA</t>
  </si>
  <si>
    <t>H</t>
  </si>
  <si>
    <t>ĐÁ NERO MARQUINA</t>
  </si>
  <si>
    <t>100000458522</t>
  </si>
  <si>
    <t>POLARIS WHITE</t>
  </si>
  <si>
    <t>ĐÁ-POLARIS_WHITE</t>
  </si>
  <si>
    <t>031</t>
  </si>
  <si>
    <t>100000447721</t>
  </si>
  <si>
    <t>VOLAKAS EXTRA</t>
  </si>
  <si>
    <t>ĐÁ-VOLAKAS_EXTRA</t>
  </si>
  <si>
    <t>036</t>
  </si>
  <si>
    <t>100000451695</t>
  </si>
  <si>
    <t>ARISTON WHITE</t>
  </si>
  <si>
    <t>ĐÁ ARISTON WHITE</t>
  </si>
  <si>
    <t>045</t>
  </si>
  <si>
    <t>100000470512</t>
  </si>
  <si>
    <t>DESERT BEIGE</t>
  </si>
  <si>
    <t>ĐÁ DESERT BEIGE</t>
  </si>
  <si>
    <t>100000466615</t>
  </si>
  <si>
    <t>WHITE WOODEN</t>
  </si>
  <si>
    <t>ĐÁ WHITE WOODEN</t>
  </si>
  <si>
    <t>017</t>
  </si>
  <si>
    <t>100000415102</t>
  </si>
  <si>
    <t xml:space="preserve">XANH NAPOLI </t>
  </si>
  <si>
    <t>ĐÁ XANH NAPOLI (M2 SLAP)</t>
  </si>
  <si>
    <t>018</t>
  </si>
  <si>
    <t>100000465331</t>
  </si>
  <si>
    <t>BLACK FOREST</t>
  </si>
  <si>
    <t>ĐÁ-BLACK FOREST POLISHED</t>
  </si>
  <si>
    <t>020</t>
  </si>
  <si>
    <t>100000451729</t>
  </si>
  <si>
    <t>FOREST GREEN</t>
  </si>
  <si>
    <t>ĐÁ-FOREST_GREEN</t>
  </si>
  <si>
    <t>023</t>
  </si>
  <si>
    <t>100000474346</t>
  </si>
  <si>
    <t>WOODEN BROWN</t>
  </si>
  <si>
    <t>ĐÁ-WOODEN BROWN</t>
  </si>
  <si>
    <t>037</t>
  </si>
  <si>
    <t>100000413118</t>
  </si>
  <si>
    <t>GOLDEN BROWN</t>
  </si>
  <si>
    <t>DA GOLDEN BROWN 18LY (M2)</t>
  </si>
  <si>
    <t>041</t>
  </si>
  <si>
    <t>100000466103</t>
  </si>
  <si>
    <t>AURORA GREY</t>
  </si>
  <si>
    <t>ĐÁ AURORA_GREY</t>
  </si>
  <si>
    <t>100000466477</t>
  </si>
  <si>
    <t>TURKEY GREY</t>
  </si>
  <si>
    <t>ĐÁ MARBLE TURKEY GREY</t>
  </si>
  <si>
    <t>100000470514</t>
  </si>
  <si>
    <t>SANT LAUREN</t>
  </si>
  <si>
    <t>ĐÁ SANT LAUREN</t>
  </si>
  <si>
    <t>012</t>
  </si>
  <si>
    <t>100000470498</t>
  </si>
  <si>
    <t>SATIN BEIGE</t>
  </si>
  <si>
    <t>DA SATIN BEIGE</t>
  </si>
  <si>
    <t>013</t>
  </si>
  <si>
    <t>100000474255</t>
  </si>
  <si>
    <t>SILVER GREY</t>
  </si>
  <si>
    <t>ĐÁ SILVER GREY MARBLE</t>
  </si>
  <si>
    <t>014</t>
  </si>
  <si>
    <t>100000470834</t>
  </si>
  <si>
    <t>TUNDRA GREY</t>
  </si>
  <si>
    <t>ĐÁ TUNDRA GREY</t>
  </si>
  <si>
    <t>015</t>
  </si>
  <si>
    <t>100000458635</t>
  </si>
  <si>
    <t>HERMES GREY</t>
  </si>
  <si>
    <t>ĐÁ-HERMES_GREY</t>
  </si>
  <si>
    <t>025</t>
  </si>
  <si>
    <t>100000446897</t>
  </si>
  <si>
    <t>VENUS WHITE</t>
  </si>
  <si>
    <t>ĐÁ VENUS WHITE</t>
  </si>
  <si>
    <t>016</t>
  </si>
  <si>
    <t>100000447050</t>
  </si>
  <si>
    <t>JAGUAR GREY</t>
  </si>
  <si>
    <t>ĐÁ_JAGUAR GREY</t>
  </si>
  <si>
    <t>019</t>
  </si>
  <si>
    <t>100000457951</t>
  </si>
  <si>
    <t>GALAXY GREY</t>
  </si>
  <si>
    <t>DA-GALAXY_GREY MARBLE</t>
  </si>
  <si>
    <t>024</t>
  </si>
  <si>
    <t>100000463943</t>
  </si>
  <si>
    <t>MOLTON GREY</t>
  </si>
  <si>
    <t>DA-MARBLE MOLTON_GREY</t>
  </si>
  <si>
    <t>026</t>
  </si>
  <si>
    <t>100000453672</t>
  </si>
  <si>
    <t>SAVANA GREY</t>
  </si>
  <si>
    <t>DA-MARBLE_SAVANA_GREY</t>
  </si>
  <si>
    <t>027</t>
  </si>
  <si>
    <t>100000458359</t>
  </si>
  <si>
    <t>PIETRA GREY</t>
  </si>
  <si>
    <t>ĐÁ-PIETRA_GREY</t>
  </si>
  <si>
    <t>030</t>
  </si>
  <si>
    <t>SAHARA NOIR</t>
  </si>
  <si>
    <t>DA-SAHARA NOIR MARBLE</t>
  </si>
  <si>
    <t>038</t>
  </si>
  <si>
    <t>100000372005</t>
  </si>
  <si>
    <t>OMAN BEIGE</t>
  </si>
  <si>
    <t>ĐÁ OMAN BEIGE</t>
  </si>
  <si>
    <t>011</t>
  </si>
  <si>
    <t>100000418573</t>
  </si>
  <si>
    <t>ARABESCATO</t>
  </si>
  <si>
    <t>ĐÁ ARABESCATO (SLAB) (M2)</t>
  </si>
  <si>
    <t>100000451976</t>
  </si>
  <si>
    <t>ROYAL GREY</t>
  </si>
  <si>
    <t>DA ROYAL GREY</t>
  </si>
  <si>
    <t>046</t>
  </si>
  <si>
    <t>100000462552</t>
  </si>
  <si>
    <t>MOON LIGHT</t>
  </si>
  <si>
    <t>DA-MOON LIGHT</t>
  </si>
  <si>
    <t>047</t>
  </si>
  <si>
    <t>100000448090</t>
  </si>
  <si>
    <t>AMAN BROWN</t>
  </si>
  <si>
    <t>ĐÁ AMAN BROWN</t>
  </si>
  <si>
    <t>044</t>
  </si>
  <si>
    <t>100000466091</t>
  </si>
  <si>
    <t>EXUMA GREY</t>
  </si>
  <si>
    <t>DA-EXUMA GREY HONED</t>
  </si>
  <si>
    <t>050</t>
  </si>
  <si>
    <t>100000470705</t>
  </si>
  <si>
    <t>TRAVENTINE</t>
  </si>
  <si>
    <t>ĐÁ-TRAVENTINE</t>
  </si>
  <si>
    <t>033</t>
  </si>
  <si>
    <t>100000422622</t>
  </si>
  <si>
    <t>GREY JADE</t>
  </si>
  <si>
    <t>DA MARBLE GREY JADE (SLAB) (M2)</t>
  </si>
  <si>
    <t>042</t>
  </si>
  <si>
    <t>100000468857</t>
  </si>
  <si>
    <t>BLUE ROMA</t>
  </si>
  <si>
    <t>ĐÁ  BLUE ROMA</t>
  </si>
  <si>
    <t>051</t>
  </si>
  <si>
    <t>100000422659</t>
  </si>
  <si>
    <t>STATURIO</t>
  </si>
  <si>
    <t>DA MARBLE STATURIO (SLAB) (M2)</t>
  </si>
  <si>
    <t>FUSHION</t>
  </si>
  <si>
    <t>ĐÁ_FUSHION_MARBLE</t>
  </si>
  <si>
    <t>039</t>
  </si>
  <si>
    <t>100000472116</t>
  </si>
  <si>
    <t>SOFITA</t>
  </si>
  <si>
    <t>ĐÁ-SOFITA</t>
  </si>
  <si>
    <t>032</t>
  </si>
  <si>
    <t>100000473758</t>
  </si>
  <si>
    <t>PESCO</t>
  </si>
  <si>
    <t>DA-PESCO MARBLE</t>
  </si>
  <si>
    <t>029</t>
  </si>
  <si>
    <t>100000473365</t>
  </si>
  <si>
    <t>NUNG KẾT</t>
  </si>
  <si>
    <t>M08 MACHIA NHÁM</t>
  </si>
  <si>
    <t>E</t>
  </si>
  <si>
    <t>ĐÁ-M08 MACHIA NHÁM</t>
  </si>
  <si>
    <t>NK</t>
  </si>
  <si>
    <t>100000450720</t>
  </si>
  <si>
    <t>ONYX</t>
  </si>
  <si>
    <t>HYMALYAN</t>
  </si>
  <si>
    <t>ĐÁ-HYMALYAN ONYX</t>
  </si>
  <si>
    <t>ON</t>
  </si>
  <si>
    <t>100000469510</t>
  </si>
  <si>
    <t>RAINBOW</t>
  </si>
  <si>
    <t>ĐÁ-RAINBOW ONYX</t>
  </si>
  <si>
    <t>100000470441</t>
  </si>
  <si>
    <t>WHITE</t>
  </si>
  <si>
    <t>ĐÁ-WHITE ONYX</t>
  </si>
  <si>
    <t>100000466310</t>
  </si>
  <si>
    <t>QUARTZ</t>
  </si>
  <si>
    <t>S104VN22M1 THẠCH ANH VÀNG NGỌC</t>
  </si>
  <si>
    <t>I</t>
  </si>
  <si>
    <t>ĐÁ QUARTZ S104VN22M1</t>
  </si>
  <si>
    <t>QU</t>
  </si>
  <si>
    <t>100000467688</t>
  </si>
  <si>
    <t>BQ8920 VICOSTONE FORZA</t>
  </si>
  <si>
    <t>DA-VICOSTONE BQ8920</t>
  </si>
  <si>
    <t>100000470767</t>
  </si>
  <si>
    <t>PQ169 CALACATTA GOLD</t>
  </si>
  <si>
    <t>ĐÁ QUARTZ PQ 169</t>
  </si>
  <si>
    <t>100000472539</t>
  </si>
  <si>
    <t>BQ2600 VALLEY WHITE</t>
  </si>
  <si>
    <t>ĐÁ-NHÂN TẠO_BQ2600</t>
  </si>
  <si>
    <t>C4246 CASLA MYSTERY</t>
  </si>
  <si>
    <t>ĐÁ_QUARTZ C4246</t>
  </si>
  <si>
    <t>100000462414</t>
  </si>
  <si>
    <t>QS306 CARRARA OCEAN</t>
  </si>
  <si>
    <t>DA-CARRARA_OCEAN QS 306</t>
  </si>
  <si>
    <t>100000470511</t>
  </si>
  <si>
    <t xml:space="preserve"> 6131 BIANCO DRIFT</t>
  </si>
  <si>
    <t>DA NHAN TAO 6131 BIANCO DRIFT</t>
  </si>
  <si>
    <t>100000472868</t>
  </si>
  <si>
    <t>BQ370 SHELLS WHITE</t>
  </si>
  <si>
    <t>ĐÁ NHÂN TẠO BQ370</t>
  </si>
  <si>
    <t>100000471847</t>
  </si>
  <si>
    <t>BQ9310 SILVER SEA</t>
  </si>
  <si>
    <t>ĐÁ NHÂN TẠO_BQ9310</t>
  </si>
  <si>
    <t>100000465684</t>
  </si>
  <si>
    <t>QS525 AURORA SNOW</t>
  </si>
  <si>
    <t>ĐÁ-QUARTZ AURORA SNOW QS525</t>
  </si>
  <si>
    <t>100000461387</t>
  </si>
  <si>
    <t>QS503 SNOW WHITE</t>
  </si>
  <si>
    <t>DA-SNOW WHITE QUARTZ STONE_QS503</t>
  </si>
  <si>
    <t>100000461904</t>
  </si>
  <si>
    <t>PS350 STORM GREY</t>
  </si>
  <si>
    <t>ĐÁ-STORM_GREY_PS350</t>
  </si>
  <si>
    <t>100000474241</t>
  </si>
  <si>
    <t>BQ8815 MISTERIO</t>
  </si>
  <si>
    <t>DA NHAN TAO BQ8815</t>
  </si>
  <si>
    <t>100000471849</t>
  </si>
  <si>
    <t>C4204 CALACATTA</t>
  </si>
  <si>
    <t>ĐÁ NHÂN TẠO CALACATTA C4204</t>
  </si>
  <si>
    <t>100000471848</t>
  </si>
  <si>
    <t>BS4010 CAMELLA</t>
  </si>
  <si>
    <t>ĐÁ-NHAN TAO_CAMELLA BS4010</t>
  </si>
  <si>
    <t>100000470523</t>
  </si>
  <si>
    <t>BQ 8805 CENDRE</t>
  </si>
  <si>
    <t>ĐÁ-QUARTZ BQ 8805</t>
  </si>
  <si>
    <t>100000471844</t>
  </si>
  <si>
    <t>AV022 ARISTON</t>
  </si>
  <si>
    <t>ĐÁ-NHÂN TẠO AV-022</t>
  </si>
  <si>
    <t>100000472538</t>
  </si>
  <si>
    <t>BQ2605 DENALI</t>
  </si>
  <si>
    <t>ĐÁ-NHÂN TẠO_BQ2605</t>
  </si>
  <si>
    <t>100000470766</t>
  </si>
  <si>
    <t>C1026 POLAR</t>
  </si>
  <si>
    <t>ĐÁ QUARTZ C 1026</t>
  </si>
  <si>
    <t>100000464779</t>
  </si>
  <si>
    <t>RSN4003</t>
  </si>
  <si>
    <t>ĐÁ QUARTZ RSN4003</t>
  </si>
  <si>
    <t>100000469670</t>
  </si>
  <si>
    <t>RSV3230</t>
  </si>
  <si>
    <t>ĐÁ QUARTZ RSV 3230</t>
  </si>
  <si>
    <t>100000474619</t>
  </si>
  <si>
    <t>RC4072</t>
  </si>
  <si>
    <t>DA QUARTZ_RC 4072</t>
  </si>
  <si>
    <t>100000470765</t>
  </si>
  <si>
    <t>BQ2607</t>
  </si>
  <si>
    <t>ĐÁ-NHÂN TẠO_BQ2607</t>
  </si>
  <si>
    <t>100000469512</t>
  </si>
  <si>
    <t>NDVC29</t>
  </si>
  <si>
    <t>ĐÁ QUARTZ NDVC29</t>
  </si>
  <si>
    <t>100000474244</t>
  </si>
  <si>
    <t>QS401</t>
  </si>
  <si>
    <t>DA QUARTZ QS 401</t>
  </si>
  <si>
    <t>100000470864</t>
  </si>
  <si>
    <t>QS504</t>
  </si>
  <si>
    <t>ĐÁ-NHÂN TẠO_QS-504</t>
  </si>
  <si>
    <t>100000465814</t>
  </si>
  <si>
    <t>QS530</t>
  </si>
  <si>
    <t>ĐÁ-QUARTZ QS530</t>
  </si>
  <si>
    <t>100000470522</t>
  </si>
  <si>
    <t>AW01</t>
  </si>
  <si>
    <t>ĐÁ-QUARZT AW01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</si>
</sst>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/>
    <xf numFmtId="0" fontId="4" fillId="0" borderId="5" xfId="0" applyFont="1" applyBorder="1" applyAlignment="1">
      <alignment horizontal="center" vertical="center"/>
    </xf>
    <xf numFmtId="0" fontId="4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1" fontId="3" fillId="0" borderId="5" xfId="0" applyNumberFormat="1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8" xfId="0" applyFont="1" applyBorder="1"/>
    <xf numFmtId="0" fontId="4" fillId="0" borderId="8" xfId="0" applyFont="1" applyBorder="1" applyAlignment="1">
      <alignment horizontal="center" vertical="center"/>
    </xf>
    <xf numFmtId="0" fontId="4" fillId="0" borderId="8" xfId="0" applyFont="1" applyBorder="1"/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5"/>
  <sheetViews>
    <sheetView tabSelected="1" workbookViewId="0">
      <selection activeCell="P3" sqref="P3"/>
    </sheetView>
  </sheetViews>
  <sheetFormatPr defaultRowHeight="15"/>
  <sheetData>
    <row r="1" spans="1:13" ht="71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0</v>
      </c>
      <c r="L1" s="3" t="s">
        <v>10</v>
      </c>
      <c r="M1" s="6" t="s">
        <v>11</v>
      </c>
    </row>
    <row r="2" spans="1:13">
      <c r="A2" s="7">
        <v>1</v>
      </c>
      <c r="B2" s="8" t="s">
        <v>12</v>
      </c>
      <c r="C2" s="9" t="s">
        <v>13</v>
      </c>
      <c r="D2" s="10" t="s">
        <v>14</v>
      </c>
      <c r="E2" s="8" t="s">
        <v>15</v>
      </c>
      <c r="F2" s="8" t="str">
        <f t="shared" ref="F2:F65" si="0">CONCATENATE(C2," ",D2," ",E2)</f>
        <v>ĐÁ BAZAN ĐEN</v>
      </c>
      <c r="G2" s="11" t="s">
        <v>16</v>
      </c>
      <c r="H2" s="8" t="s">
        <v>17</v>
      </c>
      <c r="I2" s="12" t="s">
        <v>18</v>
      </c>
      <c r="J2" s="11" t="s">
        <v>19</v>
      </c>
      <c r="K2" s="11" t="s">
        <v>20</v>
      </c>
      <c r="L2" s="10" t="str">
        <f t="shared" ref="L2:L65" si="1">CONCATENATE(I2,"",J2,"",K2)</f>
        <v>AABZ001</v>
      </c>
      <c r="M2" s="13">
        <f t="shared" ref="M2:M65" si="2">LEN(F2)</f>
        <v>12</v>
      </c>
    </row>
    <row r="3" spans="1:13">
      <c r="A3" s="7">
        <v>2</v>
      </c>
      <c r="B3" s="8" t="s">
        <v>21</v>
      </c>
      <c r="C3" s="9" t="s">
        <v>13</v>
      </c>
      <c r="D3" s="10" t="s">
        <v>22</v>
      </c>
      <c r="E3" s="8" t="s">
        <v>23</v>
      </c>
      <c r="F3" s="8" t="str">
        <f t="shared" si="0"/>
        <v>ĐÁ GRANITE TRẮNG BÌNH ĐỊNH</v>
      </c>
      <c r="G3" s="11" t="s">
        <v>24</v>
      </c>
      <c r="H3" s="8" t="s">
        <v>25</v>
      </c>
      <c r="I3" s="12" t="s">
        <v>18</v>
      </c>
      <c r="J3" s="11" t="s">
        <v>26</v>
      </c>
      <c r="K3" s="11" t="s">
        <v>27</v>
      </c>
      <c r="L3" s="10" t="str">
        <f t="shared" si="1"/>
        <v>AAGN003</v>
      </c>
      <c r="M3" s="13">
        <f t="shared" si="2"/>
        <v>26</v>
      </c>
    </row>
    <row r="4" spans="1:13">
      <c r="A4" s="7">
        <v>3</v>
      </c>
      <c r="B4" s="8" t="s">
        <v>28</v>
      </c>
      <c r="C4" s="9" t="s">
        <v>13</v>
      </c>
      <c r="D4" s="10" t="s">
        <v>22</v>
      </c>
      <c r="E4" s="8" t="s">
        <v>29</v>
      </c>
      <c r="F4" s="8" t="str">
        <f t="shared" si="0"/>
        <v>ĐÁ GRANITE ABSOLUTE BLACK</v>
      </c>
      <c r="G4" s="11" t="s">
        <v>24</v>
      </c>
      <c r="H4" s="8" t="s">
        <v>30</v>
      </c>
      <c r="I4" s="12" t="s">
        <v>18</v>
      </c>
      <c r="J4" s="11" t="s">
        <v>26</v>
      </c>
      <c r="K4" s="11" t="s">
        <v>20</v>
      </c>
      <c r="L4" s="10" t="str">
        <f t="shared" si="1"/>
        <v>AAGN001</v>
      </c>
      <c r="M4" s="13">
        <f t="shared" si="2"/>
        <v>25</v>
      </c>
    </row>
    <row r="5" spans="1:13">
      <c r="A5" s="7">
        <v>4</v>
      </c>
      <c r="B5" s="8" t="s">
        <v>31</v>
      </c>
      <c r="C5" s="9" t="s">
        <v>13</v>
      </c>
      <c r="D5" s="10" t="s">
        <v>22</v>
      </c>
      <c r="E5" s="8" t="s">
        <v>32</v>
      </c>
      <c r="F5" s="8" t="str">
        <f t="shared" si="0"/>
        <v>ĐÁ GRANITE MARKINO BLACK</v>
      </c>
      <c r="G5" s="11" t="s">
        <v>16</v>
      </c>
      <c r="H5" s="8" t="s">
        <v>33</v>
      </c>
      <c r="I5" s="12" t="s">
        <v>18</v>
      </c>
      <c r="J5" s="11" t="s">
        <v>26</v>
      </c>
      <c r="K5" s="11" t="s">
        <v>34</v>
      </c>
      <c r="L5" s="10" t="str">
        <f t="shared" si="1"/>
        <v>AAGN009</v>
      </c>
      <c r="M5" s="13">
        <f t="shared" si="2"/>
        <v>24</v>
      </c>
    </row>
    <row r="6" spans="1:13">
      <c r="A6" s="7">
        <v>5</v>
      </c>
      <c r="B6" s="8" t="s">
        <v>35</v>
      </c>
      <c r="C6" s="9" t="s">
        <v>13</v>
      </c>
      <c r="D6" s="10" t="s">
        <v>22</v>
      </c>
      <c r="E6" s="8" t="s">
        <v>36</v>
      </c>
      <c r="F6" s="8" t="str">
        <f t="shared" si="0"/>
        <v>ĐÁ GRANITE KIM SA TRUNG</v>
      </c>
      <c r="G6" s="11" t="s">
        <v>37</v>
      </c>
      <c r="H6" s="8" t="s">
        <v>38</v>
      </c>
      <c r="I6" s="12" t="s">
        <v>18</v>
      </c>
      <c r="J6" s="11" t="s">
        <v>26</v>
      </c>
      <c r="K6" s="11" t="s">
        <v>39</v>
      </c>
      <c r="L6" s="10" t="str">
        <f t="shared" si="1"/>
        <v>AAGN006</v>
      </c>
      <c r="M6" s="13">
        <f t="shared" si="2"/>
        <v>23</v>
      </c>
    </row>
    <row r="7" spans="1:13">
      <c r="A7" s="7">
        <v>6</v>
      </c>
      <c r="B7" s="8" t="s">
        <v>40</v>
      </c>
      <c r="C7" s="9" t="s">
        <v>13</v>
      </c>
      <c r="D7" s="10" t="s">
        <v>22</v>
      </c>
      <c r="E7" s="8" t="s">
        <v>41</v>
      </c>
      <c r="F7" s="8" t="str">
        <f t="shared" si="0"/>
        <v>ĐÁ GRANITE SUPER BLACK</v>
      </c>
      <c r="G7" s="11" t="s">
        <v>24</v>
      </c>
      <c r="H7" s="8" t="s">
        <v>42</v>
      </c>
      <c r="I7" s="12" t="s">
        <v>18</v>
      </c>
      <c r="J7" s="11" t="s">
        <v>26</v>
      </c>
      <c r="K7" s="11" t="s">
        <v>43</v>
      </c>
      <c r="L7" s="10" t="str">
        <f t="shared" si="1"/>
        <v>AAGN010</v>
      </c>
      <c r="M7" s="13">
        <f t="shared" si="2"/>
        <v>22</v>
      </c>
    </row>
    <row r="8" spans="1:13">
      <c r="A8" s="7">
        <v>7</v>
      </c>
      <c r="B8" s="8" t="s">
        <v>44</v>
      </c>
      <c r="C8" s="9" t="s">
        <v>13</v>
      </c>
      <c r="D8" s="10" t="s">
        <v>22</v>
      </c>
      <c r="E8" s="8" t="s">
        <v>45</v>
      </c>
      <c r="F8" s="8" t="str">
        <f t="shared" si="0"/>
        <v>ĐÁ GRANITE INDIA WHITE</v>
      </c>
      <c r="G8" s="11" t="s">
        <v>16</v>
      </c>
      <c r="H8" s="8" t="s">
        <v>46</v>
      </c>
      <c r="I8" s="12" t="s">
        <v>18</v>
      </c>
      <c r="J8" s="11" t="s">
        <v>26</v>
      </c>
      <c r="K8" s="11" t="s">
        <v>47</v>
      </c>
      <c r="L8" s="10" t="str">
        <f t="shared" si="1"/>
        <v>AAGN002</v>
      </c>
      <c r="M8" s="13">
        <f t="shared" si="2"/>
        <v>22</v>
      </c>
    </row>
    <row r="9" spans="1:13">
      <c r="A9" s="7">
        <v>8</v>
      </c>
      <c r="B9" s="8" t="s">
        <v>48</v>
      </c>
      <c r="C9" s="9" t="s">
        <v>13</v>
      </c>
      <c r="D9" s="10" t="s">
        <v>22</v>
      </c>
      <c r="E9" s="8" t="s">
        <v>49</v>
      </c>
      <c r="F9" s="8" t="str">
        <f t="shared" si="0"/>
        <v>ĐÁ GRANITE ĐEN NGÂN HÀ</v>
      </c>
      <c r="G9" s="11" t="s">
        <v>16</v>
      </c>
      <c r="H9" s="8" t="s">
        <v>50</v>
      </c>
      <c r="I9" s="12" t="s">
        <v>18</v>
      </c>
      <c r="J9" s="11" t="s">
        <v>26</v>
      </c>
      <c r="K9" s="11" t="s">
        <v>51</v>
      </c>
      <c r="L9" s="10" t="str">
        <f t="shared" si="1"/>
        <v>AAGN004</v>
      </c>
      <c r="M9" s="13">
        <f t="shared" si="2"/>
        <v>22</v>
      </c>
    </row>
    <row r="10" spans="1:13">
      <c r="A10" s="7">
        <v>9</v>
      </c>
      <c r="B10" s="14">
        <v>100001000455</v>
      </c>
      <c r="C10" s="9" t="s">
        <v>13</v>
      </c>
      <c r="D10" s="10" t="s">
        <v>22</v>
      </c>
      <c r="E10" s="8" t="s">
        <v>52</v>
      </c>
      <c r="F10" s="8" t="str">
        <f t="shared" si="0"/>
        <v>ĐÁ GRANITE ĐEN PHÚ YÊN</v>
      </c>
      <c r="G10" s="11" t="s">
        <v>16</v>
      </c>
      <c r="H10" s="8" t="s">
        <v>53</v>
      </c>
      <c r="I10" s="12" t="s">
        <v>18</v>
      </c>
      <c r="J10" s="11" t="s">
        <v>26</v>
      </c>
      <c r="K10" s="11" t="s">
        <v>54</v>
      </c>
      <c r="L10" s="10" t="str">
        <f t="shared" si="1"/>
        <v>AAGN008</v>
      </c>
      <c r="M10" s="13">
        <f t="shared" si="2"/>
        <v>22</v>
      </c>
    </row>
    <row r="11" spans="1:13">
      <c r="A11" s="7">
        <v>10</v>
      </c>
      <c r="B11" s="8" t="s">
        <v>55</v>
      </c>
      <c r="C11" s="9" t="s">
        <v>13</v>
      </c>
      <c r="D11" s="10" t="s">
        <v>22</v>
      </c>
      <c r="E11" s="8" t="s">
        <v>56</v>
      </c>
      <c r="F11" s="8" t="str">
        <f t="shared" si="0"/>
        <v>ĐÁ GRANITE XÁM SA MẠC</v>
      </c>
      <c r="G11" s="11" t="s">
        <v>24</v>
      </c>
      <c r="H11" s="8" t="s">
        <v>57</v>
      </c>
      <c r="I11" s="12" t="s">
        <v>18</v>
      </c>
      <c r="J11" s="11" t="s">
        <v>26</v>
      </c>
      <c r="K11" s="11" t="s">
        <v>58</v>
      </c>
      <c r="L11" s="10" t="str">
        <f t="shared" si="1"/>
        <v>AAGN005</v>
      </c>
      <c r="M11" s="13">
        <f t="shared" si="2"/>
        <v>21</v>
      </c>
    </row>
    <row r="12" spans="1:13">
      <c r="A12" s="7">
        <v>11</v>
      </c>
      <c r="B12" s="8" t="s">
        <v>59</v>
      </c>
      <c r="C12" s="9" t="s">
        <v>13</v>
      </c>
      <c r="D12" s="10" t="s">
        <v>22</v>
      </c>
      <c r="E12" s="8" t="s">
        <v>60</v>
      </c>
      <c r="F12" s="8" t="str">
        <f t="shared" si="0"/>
        <v>ĐÁ GRANITE RUBY RED</v>
      </c>
      <c r="G12" s="11" t="s">
        <v>24</v>
      </c>
      <c r="H12" s="8" t="s">
        <v>61</v>
      </c>
      <c r="I12" s="12" t="s">
        <v>18</v>
      </c>
      <c r="J12" s="11" t="s">
        <v>26</v>
      </c>
      <c r="K12" s="11" t="s">
        <v>62</v>
      </c>
      <c r="L12" s="10" t="str">
        <f t="shared" si="1"/>
        <v>AAGN007</v>
      </c>
      <c r="M12" s="13">
        <f t="shared" si="2"/>
        <v>19</v>
      </c>
    </row>
    <row r="13" spans="1:13">
      <c r="A13" s="7">
        <v>12</v>
      </c>
      <c r="B13" s="8" t="s">
        <v>63</v>
      </c>
      <c r="C13" s="9" t="s">
        <v>13</v>
      </c>
      <c r="D13" s="10" t="s">
        <v>64</v>
      </c>
      <c r="E13" s="8" t="s">
        <v>65</v>
      </c>
      <c r="F13" s="8" t="str">
        <f t="shared" si="0"/>
        <v>ĐÁ MARBLE DARK GREY EMPERADOR</v>
      </c>
      <c r="G13" s="11" t="s">
        <v>66</v>
      </c>
      <c r="H13" s="8" t="s">
        <v>67</v>
      </c>
      <c r="I13" s="12" t="s">
        <v>18</v>
      </c>
      <c r="J13" s="11" t="s">
        <v>68</v>
      </c>
      <c r="K13" s="11" t="s">
        <v>69</v>
      </c>
      <c r="L13" s="10" t="str">
        <f t="shared" si="1"/>
        <v>AAMB021</v>
      </c>
      <c r="M13" s="13">
        <f t="shared" si="2"/>
        <v>29</v>
      </c>
    </row>
    <row r="14" spans="1:13">
      <c r="A14" s="7">
        <v>13</v>
      </c>
      <c r="B14" s="8" t="s">
        <v>70</v>
      </c>
      <c r="C14" s="9" t="s">
        <v>13</v>
      </c>
      <c r="D14" s="10" t="s">
        <v>64</v>
      </c>
      <c r="E14" s="8" t="s">
        <v>71</v>
      </c>
      <c r="F14" s="8" t="str">
        <f t="shared" si="0"/>
        <v>ĐÁ MARBLE ATHEN GOLDEN FLOWER</v>
      </c>
      <c r="G14" s="11" t="s">
        <v>72</v>
      </c>
      <c r="H14" s="8" t="s">
        <v>73</v>
      </c>
      <c r="I14" s="12" t="s">
        <v>18</v>
      </c>
      <c r="J14" s="11" t="s">
        <v>68</v>
      </c>
      <c r="K14" s="11" t="s">
        <v>74</v>
      </c>
      <c r="L14" s="10" t="str">
        <f t="shared" si="1"/>
        <v>AAMB048</v>
      </c>
      <c r="M14" s="13">
        <f t="shared" si="2"/>
        <v>29</v>
      </c>
    </row>
    <row r="15" spans="1:13">
      <c r="A15" s="7">
        <v>14</v>
      </c>
      <c r="B15" s="8" t="s">
        <v>75</v>
      </c>
      <c r="C15" s="9" t="s">
        <v>13</v>
      </c>
      <c r="D15" s="10" t="s">
        <v>64</v>
      </c>
      <c r="E15" s="8" t="s">
        <v>76</v>
      </c>
      <c r="F15" s="8" t="str">
        <f t="shared" si="0"/>
        <v>ĐÁ MARBLE LIGHT EMPERADOR</v>
      </c>
      <c r="G15" s="11" t="s">
        <v>66</v>
      </c>
      <c r="H15" s="8" t="s">
        <v>77</v>
      </c>
      <c r="I15" s="12" t="s">
        <v>18</v>
      </c>
      <c r="J15" s="11" t="s">
        <v>68</v>
      </c>
      <c r="K15" s="11" t="s">
        <v>39</v>
      </c>
      <c r="L15" s="10" t="str">
        <f t="shared" si="1"/>
        <v>AAMB006</v>
      </c>
      <c r="M15" s="13">
        <f t="shared" si="2"/>
        <v>25</v>
      </c>
    </row>
    <row r="16" spans="1:13">
      <c r="A16" s="7">
        <v>15</v>
      </c>
      <c r="B16" s="8" t="s">
        <v>78</v>
      </c>
      <c r="C16" s="9" t="s">
        <v>13</v>
      </c>
      <c r="D16" s="10" t="s">
        <v>64</v>
      </c>
      <c r="E16" s="8" t="s">
        <v>79</v>
      </c>
      <c r="F16" s="8" t="str">
        <f t="shared" si="0"/>
        <v>ĐÁ MARBLE CALACATTA VIOLA</v>
      </c>
      <c r="G16" s="11" t="s">
        <v>80</v>
      </c>
      <c r="H16" s="8" t="s">
        <v>81</v>
      </c>
      <c r="I16" s="12" t="s">
        <v>18</v>
      </c>
      <c r="J16" s="11" t="s">
        <v>68</v>
      </c>
      <c r="K16" s="11" t="s">
        <v>34</v>
      </c>
      <c r="L16" s="10" t="str">
        <f t="shared" si="1"/>
        <v>AAMB009</v>
      </c>
      <c r="M16" s="13">
        <f t="shared" si="2"/>
        <v>25</v>
      </c>
    </row>
    <row r="17" spans="1:13">
      <c r="A17" s="7">
        <v>16</v>
      </c>
      <c r="B17" s="8" t="s">
        <v>82</v>
      </c>
      <c r="C17" s="9" t="s">
        <v>13</v>
      </c>
      <c r="D17" s="10" t="s">
        <v>64</v>
      </c>
      <c r="E17" s="8" t="s">
        <v>83</v>
      </c>
      <c r="F17" s="8" t="str">
        <f t="shared" si="0"/>
        <v>ĐÁ MARBLE NOIR ST LAURENT</v>
      </c>
      <c r="G17" s="11" t="s">
        <v>72</v>
      </c>
      <c r="H17" s="8" t="s">
        <v>84</v>
      </c>
      <c r="I17" s="12" t="s">
        <v>18</v>
      </c>
      <c r="J17" s="11" t="s">
        <v>68</v>
      </c>
      <c r="K17" s="11" t="s">
        <v>85</v>
      </c>
      <c r="L17" s="10" t="str">
        <f t="shared" si="1"/>
        <v>AAMB028</v>
      </c>
      <c r="M17" s="13">
        <f t="shared" si="2"/>
        <v>25</v>
      </c>
    </row>
    <row r="18" spans="1:13">
      <c r="A18" s="7">
        <v>17</v>
      </c>
      <c r="B18" s="8" t="s">
        <v>86</v>
      </c>
      <c r="C18" s="9" t="s">
        <v>13</v>
      </c>
      <c r="D18" s="10" t="s">
        <v>64</v>
      </c>
      <c r="E18" s="8" t="s">
        <v>87</v>
      </c>
      <c r="F18" s="8" t="str">
        <f t="shared" si="0"/>
        <v>ĐÁ MARBLE VOLAKAS BUTERLY</v>
      </c>
      <c r="G18" s="11" t="s">
        <v>88</v>
      </c>
      <c r="H18" s="8" t="s">
        <v>89</v>
      </c>
      <c r="I18" s="12" t="s">
        <v>18</v>
      </c>
      <c r="J18" s="11" t="s">
        <v>68</v>
      </c>
      <c r="K18" s="11" t="s">
        <v>90</v>
      </c>
      <c r="L18" s="10" t="str">
        <f t="shared" si="1"/>
        <v>AAMB034</v>
      </c>
      <c r="M18" s="13">
        <f t="shared" si="2"/>
        <v>25</v>
      </c>
    </row>
    <row r="19" spans="1:13">
      <c r="A19" s="7">
        <v>18</v>
      </c>
      <c r="B19" s="8" t="s">
        <v>91</v>
      </c>
      <c r="C19" s="9" t="s">
        <v>13</v>
      </c>
      <c r="D19" s="10" t="s">
        <v>64</v>
      </c>
      <c r="E19" s="8" t="s">
        <v>92</v>
      </c>
      <c r="F19" s="8" t="str">
        <f t="shared" si="0"/>
        <v>ĐÁ MARBLE EMPERADOR GREY</v>
      </c>
      <c r="G19" s="11" t="s">
        <v>66</v>
      </c>
      <c r="H19" s="8" t="s">
        <v>93</v>
      </c>
      <c r="I19" s="12" t="s">
        <v>18</v>
      </c>
      <c r="J19" s="11" t="s">
        <v>68</v>
      </c>
      <c r="K19" s="11" t="s">
        <v>58</v>
      </c>
      <c r="L19" s="10" t="str">
        <f t="shared" si="1"/>
        <v>AAMB005</v>
      </c>
      <c r="M19" s="13">
        <f t="shared" si="2"/>
        <v>24</v>
      </c>
    </row>
    <row r="20" spans="1:13">
      <c r="A20" s="7">
        <v>19</v>
      </c>
      <c r="B20" s="8" t="s">
        <v>94</v>
      </c>
      <c r="C20" s="9" t="s">
        <v>13</v>
      </c>
      <c r="D20" s="10" t="s">
        <v>64</v>
      </c>
      <c r="E20" s="8" t="s">
        <v>95</v>
      </c>
      <c r="F20" s="8" t="str">
        <f t="shared" si="0"/>
        <v>ĐÁ MARBLE ROSSO ALICANTE</v>
      </c>
      <c r="G20" s="11" t="s">
        <v>72</v>
      </c>
      <c r="H20" s="8" t="s">
        <v>96</v>
      </c>
      <c r="I20" s="12" t="s">
        <v>18</v>
      </c>
      <c r="J20" s="11" t="s">
        <v>68</v>
      </c>
      <c r="K20" s="11" t="s">
        <v>97</v>
      </c>
      <c r="L20" s="10" t="str">
        <f t="shared" si="1"/>
        <v>AAMB049</v>
      </c>
      <c r="M20" s="13">
        <f t="shared" si="2"/>
        <v>24</v>
      </c>
    </row>
    <row r="21" spans="1:13">
      <c r="A21" s="7">
        <v>20</v>
      </c>
      <c r="B21" s="8" t="s">
        <v>98</v>
      </c>
      <c r="C21" s="9" t="s">
        <v>13</v>
      </c>
      <c r="D21" s="10" t="s">
        <v>64</v>
      </c>
      <c r="E21" s="8" t="s">
        <v>99</v>
      </c>
      <c r="F21" s="8" t="str">
        <f t="shared" si="0"/>
        <v>ĐÁ MARBLE ORIENTAL WHITE</v>
      </c>
      <c r="G21" s="11" t="s">
        <v>100</v>
      </c>
      <c r="H21" s="8" t="s">
        <v>101</v>
      </c>
      <c r="I21" s="12" t="s">
        <v>18</v>
      </c>
      <c r="J21" s="11" t="s">
        <v>68</v>
      </c>
      <c r="K21" s="11" t="s">
        <v>102</v>
      </c>
      <c r="L21" s="10" t="str">
        <f t="shared" si="1"/>
        <v>AAMB043</v>
      </c>
      <c r="M21" s="13">
        <f t="shared" si="2"/>
        <v>24</v>
      </c>
    </row>
    <row r="22" spans="1:13">
      <c r="A22" s="7">
        <v>21</v>
      </c>
      <c r="B22" s="14">
        <v>100001000610</v>
      </c>
      <c r="C22" s="9" t="s">
        <v>13</v>
      </c>
      <c r="D22" s="10" t="s">
        <v>64</v>
      </c>
      <c r="E22" s="8" t="s">
        <v>103</v>
      </c>
      <c r="F22" s="8" t="str">
        <f t="shared" si="0"/>
        <v>ĐÁ MARBLE PLATTINUM GREY</v>
      </c>
      <c r="G22" s="11" t="s">
        <v>104</v>
      </c>
      <c r="H22" s="8" t="s">
        <v>105</v>
      </c>
      <c r="I22" s="12" t="s">
        <v>18</v>
      </c>
      <c r="J22" s="11" t="s">
        <v>68</v>
      </c>
      <c r="K22" s="11" t="s">
        <v>106</v>
      </c>
      <c r="L22" s="10" t="str">
        <f t="shared" si="1"/>
        <v>AAMB040</v>
      </c>
      <c r="M22" s="13">
        <f t="shared" si="2"/>
        <v>24</v>
      </c>
    </row>
    <row r="23" spans="1:13">
      <c r="A23" s="7">
        <v>22</v>
      </c>
      <c r="B23" s="8" t="s">
        <v>107</v>
      </c>
      <c r="C23" s="9" t="s">
        <v>13</v>
      </c>
      <c r="D23" s="10" t="s">
        <v>64</v>
      </c>
      <c r="E23" s="8" t="s">
        <v>108</v>
      </c>
      <c r="F23" s="8" t="str">
        <f t="shared" si="0"/>
        <v>ĐÁ MARBLE VOLAKAS ÍT VÂN</v>
      </c>
      <c r="G23" s="11" t="s">
        <v>88</v>
      </c>
      <c r="H23" s="8" t="s">
        <v>109</v>
      </c>
      <c r="I23" s="12" t="s">
        <v>18</v>
      </c>
      <c r="J23" s="11" t="s">
        <v>68</v>
      </c>
      <c r="K23" s="11" t="s">
        <v>110</v>
      </c>
      <c r="L23" s="10" t="str">
        <f t="shared" si="1"/>
        <v>AAMB035</v>
      </c>
      <c r="M23" s="13">
        <f t="shared" si="2"/>
        <v>24</v>
      </c>
    </row>
    <row r="24" spans="1:13">
      <c r="A24" s="7">
        <v>23</v>
      </c>
      <c r="B24" s="8" t="s">
        <v>111</v>
      </c>
      <c r="C24" s="9" t="s">
        <v>13</v>
      </c>
      <c r="D24" s="10" t="s">
        <v>64</v>
      </c>
      <c r="E24" s="8" t="s">
        <v>112</v>
      </c>
      <c r="F24" s="8" t="str">
        <f t="shared" si="0"/>
        <v>ĐÁ MARBLE CARRARA WHITE</v>
      </c>
      <c r="G24" s="11" t="s">
        <v>80</v>
      </c>
      <c r="H24" s="8" t="s">
        <v>113</v>
      </c>
      <c r="I24" s="12" t="s">
        <v>18</v>
      </c>
      <c r="J24" s="11" t="s">
        <v>68</v>
      </c>
      <c r="K24" s="11" t="s">
        <v>27</v>
      </c>
      <c r="L24" s="10" t="str">
        <f t="shared" si="1"/>
        <v>AAMB003</v>
      </c>
      <c r="M24" s="13">
        <f t="shared" si="2"/>
        <v>23</v>
      </c>
    </row>
    <row r="25" spans="1:13">
      <c r="A25" s="7">
        <v>24</v>
      </c>
      <c r="B25" s="8" t="s">
        <v>114</v>
      </c>
      <c r="C25" s="9" t="s">
        <v>13</v>
      </c>
      <c r="D25" s="10" t="s">
        <v>64</v>
      </c>
      <c r="E25" s="8" t="s">
        <v>115</v>
      </c>
      <c r="F25" s="8" t="str">
        <f t="shared" si="0"/>
        <v>ĐÁ MARBLE FANTASY BLACK</v>
      </c>
      <c r="G25" s="11" t="s">
        <v>80</v>
      </c>
      <c r="H25" s="8" t="s">
        <v>116</v>
      </c>
      <c r="I25" s="12" t="s">
        <v>18</v>
      </c>
      <c r="J25" s="11" t="s">
        <v>68</v>
      </c>
      <c r="K25" s="11" t="s">
        <v>117</v>
      </c>
      <c r="L25" s="10" t="str">
        <f t="shared" si="1"/>
        <v>AAMB022</v>
      </c>
      <c r="M25" s="13">
        <f t="shared" si="2"/>
        <v>23</v>
      </c>
    </row>
    <row r="26" spans="1:13">
      <c r="A26" s="7">
        <v>25</v>
      </c>
      <c r="B26" s="8" t="s">
        <v>118</v>
      </c>
      <c r="C26" s="9" t="s">
        <v>13</v>
      </c>
      <c r="D26" s="10" t="s">
        <v>64</v>
      </c>
      <c r="E26" s="8" t="s">
        <v>119</v>
      </c>
      <c r="F26" s="8" t="str">
        <f t="shared" si="0"/>
        <v>ĐÁ MARBLE NERO MARQUINA</v>
      </c>
      <c r="G26" s="11" t="s">
        <v>120</v>
      </c>
      <c r="H26" s="8" t="s">
        <v>121</v>
      </c>
      <c r="I26" s="12" t="s">
        <v>18</v>
      </c>
      <c r="J26" s="11" t="s">
        <v>68</v>
      </c>
      <c r="K26" s="11" t="s">
        <v>43</v>
      </c>
      <c r="L26" s="10" t="str">
        <f t="shared" si="1"/>
        <v>AAMB010</v>
      </c>
      <c r="M26" s="13">
        <f t="shared" si="2"/>
        <v>23</v>
      </c>
    </row>
    <row r="27" spans="1:13">
      <c r="A27" s="7">
        <v>26</v>
      </c>
      <c r="B27" s="8" t="s">
        <v>122</v>
      </c>
      <c r="C27" s="9" t="s">
        <v>13</v>
      </c>
      <c r="D27" s="10" t="s">
        <v>64</v>
      </c>
      <c r="E27" s="8" t="s">
        <v>123</v>
      </c>
      <c r="F27" s="8" t="str">
        <f t="shared" si="0"/>
        <v>ĐÁ MARBLE POLARIS WHITE</v>
      </c>
      <c r="G27" s="11" t="s">
        <v>104</v>
      </c>
      <c r="H27" s="8" t="s">
        <v>124</v>
      </c>
      <c r="I27" s="12" t="s">
        <v>18</v>
      </c>
      <c r="J27" s="11" t="s">
        <v>68</v>
      </c>
      <c r="K27" s="11" t="s">
        <v>125</v>
      </c>
      <c r="L27" s="10" t="str">
        <f t="shared" si="1"/>
        <v>AAMB031</v>
      </c>
      <c r="M27" s="13">
        <f t="shared" si="2"/>
        <v>23</v>
      </c>
    </row>
    <row r="28" spans="1:13">
      <c r="A28" s="7">
        <v>27</v>
      </c>
      <c r="B28" s="8" t="s">
        <v>126</v>
      </c>
      <c r="C28" s="9" t="s">
        <v>13</v>
      </c>
      <c r="D28" s="10" t="s">
        <v>64</v>
      </c>
      <c r="E28" s="8" t="s">
        <v>127</v>
      </c>
      <c r="F28" s="8" t="str">
        <f t="shared" si="0"/>
        <v>ĐÁ MARBLE VOLAKAS EXTRA</v>
      </c>
      <c r="G28" s="11" t="s">
        <v>88</v>
      </c>
      <c r="H28" s="8" t="s">
        <v>128</v>
      </c>
      <c r="I28" s="12" t="s">
        <v>18</v>
      </c>
      <c r="J28" s="11" t="s">
        <v>68</v>
      </c>
      <c r="K28" s="11" t="s">
        <v>129</v>
      </c>
      <c r="L28" s="10" t="str">
        <f t="shared" si="1"/>
        <v>AAMB036</v>
      </c>
      <c r="M28" s="13">
        <f t="shared" si="2"/>
        <v>23</v>
      </c>
    </row>
    <row r="29" spans="1:13">
      <c r="A29" s="7">
        <v>28</v>
      </c>
      <c r="B29" s="8" t="s">
        <v>130</v>
      </c>
      <c r="C29" s="9" t="s">
        <v>13</v>
      </c>
      <c r="D29" s="10" t="s">
        <v>64</v>
      </c>
      <c r="E29" s="8" t="s">
        <v>131</v>
      </c>
      <c r="F29" s="8" t="str">
        <f t="shared" si="0"/>
        <v>ĐÁ MARBLE ARISTON WHITE</v>
      </c>
      <c r="G29" s="11" t="s">
        <v>88</v>
      </c>
      <c r="H29" s="8" t="s">
        <v>132</v>
      </c>
      <c r="I29" s="12" t="s">
        <v>18</v>
      </c>
      <c r="J29" s="11" t="s">
        <v>68</v>
      </c>
      <c r="K29" s="11" t="s">
        <v>133</v>
      </c>
      <c r="L29" s="10" t="str">
        <f t="shared" si="1"/>
        <v>AAMB045</v>
      </c>
      <c r="M29" s="13">
        <f t="shared" si="2"/>
        <v>23</v>
      </c>
    </row>
    <row r="30" spans="1:13">
      <c r="A30" s="7">
        <v>29</v>
      </c>
      <c r="B30" s="8" t="s">
        <v>134</v>
      </c>
      <c r="C30" s="9" t="s">
        <v>13</v>
      </c>
      <c r="D30" s="10" t="s">
        <v>64</v>
      </c>
      <c r="E30" s="8" t="s">
        <v>135</v>
      </c>
      <c r="F30" s="8" t="str">
        <f t="shared" si="0"/>
        <v>ĐÁ MARBLE DESERT BEIGE</v>
      </c>
      <c r="G30" s="11" t="s">
        <v>66</v>
      </c>
      <c r="H30" s="8" t="s">
        <v>136</v>
      </c>
      <c r="I30" s="12" t="s">
        <v>18</v>
      </c>
      <c r="J30" s="11" t="s">
        <v>68</v>
      </c>
      <c r="K30" s="11" t="s">
        <v>51</v>
      </c>
      <c r="L30" s="10" t="str">
        <f t="shared" si="1"/>
        <v>AAMB004</v>
      </c>
      <c r="M30" s="13">
        <f t="shared" si="2"/>
        <v>22</v>
      </c>
    </row>
    <row r="31" spans="1:13">
      <c r="A31" s="7">
        <v>30</v>
      </c>
      <c r="B31" s="8" t="s">
        <v>137</v>
      </c>
      <c r="C31" s="9" t="s">
        <v>13</v>
      </c>
      <c r="D31" s="10" t="s">
        <v>64</v>
      </c>
      <c r="E31" s="8" t="s">
        <v>138</v>
      </c>
      <c r="F31" s="8" t="str">
        <f t="shared" si="0"/>
        <v>ĐÁ MARBLE WHITE WOODEN</v>
      </c>
      <c r="G31" s="11" t="s">
        <v>80</v>
      </c>
      <c r="H31" s="8" t="s">
        <v>139</v>
      </c>
      <c r="I31" s="12" t="s">
        <v>18</v>
      </c>
      <c r="J31" s="11" t="s">
        <v>68</v>
      </c>
      <c r="K31" s="11" t="s">
        <v>140</v>
      </c>
      <c r="L31" s="10" t="str">
        <f t="shared" si="1"/>
        <v>AAMB017</v>
      </c>
      <c r="M31" s="13">
        <f t="shared" si="2"/>
        <v>22</v>
      </c>
    </row>
    <row r="32" spans="1:13">
      <c r="A32" s="7">
        <v>31</v>
      </c>
      <c r="B32" s="8" t="s">
        <v>141</v>
      </c>
      <c r="C32" s="9" t="s">
        <v>13</v>
      </c>
      <c r="D32" s="10" t="s">
        <v>64</v>
      </c>
      <c r="E32" s="8" t="s">
        <v>142</v>
      </c>
      <c r="F32" s="8" t="str">
        <f t="shared" si="0"/>
        <v xml:space="preserve">ĐÁ MARBLE XANH NAPOLI </v>
      </c>
      <c r="G32" s="11" t="s">
        <v>80</v>
      </c>
      <c r="H32" s="8" t="s">
        <v>143</v>
      </c>
      <c r="I32" s="12" t="s">
        <v>18</v>
      </c>
      <c r="J32" s="11" t="s">
        <v>68</v>
      </c>
      <c r="K32" s="11" t="s">
        <v>144</v>
      </c>
      <c r="L32" s="10" t="str">
        <f t="shared" si="1"/>
        <v>AAMB018</v>
      </c>
      <c r="M32" s="13">
        <f t="shared" si="2"/>
        <v>22</v>
      </c>
    </row>
    <row r="33" spans="1:13">
      <c r="A33" s="7">
        <v>32</v>
      </c>
      <c r="B33" s="8" t="s">
        <v>145</v>
      </c>
      <c r="C33" s="9" t="s">
        <v>13</v>
      </c>
      <c r="D33" s="10" t="s">
        <v>64</v>
      </c>
      <c r="E33" s="8" t="s">
        <v>146</v>
      </c>
      <c r="F33" s="8" t="str">
        <f t="shared" si="0"/>
        <v>ĐÁ MARBLE BLACK FOREST</v>
      </c>
      <c r="G33" s="11" t="s">
        <v>80</v>
      </c>
      <c r="H33" s="8" t="s">
        <v>147</v>
      </c>
      <c r="I33" s="12" t="s">
        <v>18</v>
      </c>
      <c r="J33" s="11" t="s">
        <v>68</v>
      </c>
      <c r="K33" s="11" t="s">
        <v>148</v>
      </c>
      <c r="L33" s="10" t="str">
        <f t="shared" si="1"/>
        <v>AAMB020</v>
      </c>
      <c r="M33" s="13">
        <f t="shared" si="2"/>
        <v>22</v>
      </c>
    </row>
    <row r="34" spans="1:13">
      <c r="A34" s="7">
        <v>33</v>
      </c>
      <c r="B34" s="8" t="s">
        <v>149</v>
      </c>
      <c r="C34" s="9" t="s">
        <v>13</v>
      </c>
      <c r="D34" s="10" t="s">
        <v>64</v>
      </c>
      <c r="E34" s="8" t="s">
        <v>150</v>
      </c>
      <c r="F34" s="8" t="str">
        <f t="shared" si="0"/>
        <v>ĐÁ MARBLE FOREST GREEN</v>
      </c>
      <c r="G34" s="11" t="s">
        <v>80</v>
      </c>
      <c r="H34" s="8" t="s">
        <v>151</v>
      </c>
      <c r="I34" s="12" t="s">
        <v>18</v>
      </c>
      <c r="J34" s="11" t="s">
        <v>68</v>
      </c>
      <c r="K34" s="11" t="s">
        <v>152</v>
      </c>
      <c r="L34" s="10" t="str">
        <f t="shared" si="1"/>
        <v>AAMB023</v>
      </c>
      <c r="M34" s="13">
        <f t="shared" si="2"/>
        <v>22</v>
      </c>
    </row>
    <row r="35" spans="1:13">
      <c r="A35" s="7">
        <v>34</v>
      </c>
      <c r="B35" s="8" t="s">
        <v>153</v>
      </c>
      <c r="C35" s="9" t="s">
        <v>13</v>
      </c>
      <c r="D35" s="10" t="s">
        <v>64</v>
      </c>
      <c r="E35" s="8" t="s">
        <v>154</v>
      </c>
      <c r="F35" s="8" t="str">
        <f t="shared" si="0"/>
        <v>ĐÁ MARBLE WOODEN BROWN</v>
      </c>
      <c r="G35" s="11" t="s">
        <v>72</v>
      </c>
      <c r="H35" s="8" t="s">
        <v>155</v>
      </c>
      <c r="I35" s="12" t="s">
        <v>18</v>
      </c>
      <c r="J35" s="11" t="s">
        <v>68</v>
      </c>
      <c r="K35" s="11" t="s">
        <v>156</v>
      </c>
      <c r="L35" s="10" t="str">
        <f t="shared" si="1"/>
        <v>AAMB037</v>
      </c>
      <c r="M35" s="13">
        <f t="shared" si="2"/>
        <v>22</v>
      </c>
    </row>
    <row r="36" spans="1:13">
      <c r="A36" s="7">
        <v>35</v>
      </c>
      <c r="B36" s="8" t="s">
        <v>157</v>
      </c>
      <c r="C36" s="9" t="s">
        <v>13</v>
      </c>
      <c r="D36" s="10" t="s">
        <v>64</v>
      </c>
      <c r="E36" s="8" t="s">
        <v>158</v>
      </c>
      <c r="F36" s="8" t="str">
        <f t="shared" si="0"/>
        <v>ĐÁ MARBLE GOLDEN BROWN</v>
      </c>
      <c r="G36" s="11" t="s">
        <v>72</v>
      </c>
      <c r="H36" s="8" t="s">
        <v>159</v>
      </c>
      <c r="I36" s="12" t="s">
        <v>18</v>
      </c>
      <c r="J36" s="11" t="s">
        <v>68</v>
      </c>
      <c r="K36" s="11" t="s">
        <v>160</v>
      </c>
      <c r="L36" s="10" t="str">
        <f t="shared" si="1"/>
        <v>AAMB041</v>
      </c>
      <c r="M36" s="13">
        <f t="shared" si="2"/>
        <v>22</v>
      </c>
    </row>
    <row r="37" spans="1:13">
      <c r="A37" s="7">
        <v>36</v>
      </c>
      <c r="B37" s="8" t="s">
        <v>161</v>
      </c>
      <c r="C37" s="9" t="s">
        <v>13</v>
      </c>
      <c r="D37" s="10" t="s">
        <v>64</v>
      </c>
      <c r="E37" s="8" t="s">
        <v>162</v>
      </c>
      <c r="F37" s="8" t="str">
        <f t="shared" si="0"/>
        <v>ĐÁ MARBLE AURORA GREY</v>
      </c>
      <c r="G37" s="11" t="s">
        <v>66</v>
      </c>
      <c r="H37" s="8" t="s">
        <v>163</v>
      </c>
      <c r="I37" s="12" t="s">
        <v>18</v>
      </c>
      <c r="J37" s="11" t="s">
        <v>68</v>
      </c>
      <c r="K37" s="11" t="s">
        <v>47</v>
      </c>
      <c r="L37" s="10" t="str">
        <f t="shared" si="1"/>
        <v>AAMB002</v>
      </c>
      <c r="M37" s="13">
        <f t="shared" si="2"/>
        <v>21</v>
      </c>
    </row>
    <row r="38" spans="1:13">
      <c r="A38" s="7">
        <v>37</v>
      </c>
      <c r="B38" s="8" t="s">
        <v>164</v>
      </c>
      <c r="C38" s="9" t="s">
        <v>13</v>
      </c>
      <c r="D38" s="10" t="s">
        <v>64</v>
      </c>
      <c r="E38" s="8" t="s">
        <v>165</v>
      </c>
      <c r="F38" s="8" t="str">
        <f t="shared" si="0"/>
        <v>ĐÁ MARBLE TURKEY GREY</v>
      </c>
      <c r="G38" s="11" t="s">
        <v>66</v>
      </c>
      <c r="H38" s="8" t="s">
        <v>166</v>
      </c>
      <c r="I38" s="12" t="s">
        <v>18</v>
      </c>
      <c r="J38" s="11" t="s">
        <v>68</v>
      </c>
      <c r="K38" s="11" t="s">
        <v>54</v>
      </c>
      <c r="L38" s="10" t="str">
        <f t="shared" si="1"/>
        <v>AAMB008</v>
      </c>
      <c r="M38" s="13">
        <f t="shared" si="2"/>
        <v>21</v>
      </c>
    </row>
    <row r="39" spans="1:13">
      <c r="A39" s="7">
        <v>38</v>
      </c>
      <c r="B39" s="8" t="s">
        <v>167</v>
      </c>
      <c r="C39" s="9" t="s">
        <v>13</v>
      </c>
      <c r="D39" s="10" t="s">
        <v>64</v>
      </c>
      <c r="E39" s="8" t="s">
        <v>168</v>
      </c>
      <c r="F39" s="8" t="str">
        <f t="shared" si="0"/>
        <v>ĐÁ MARBLE SANT LAUREN</v>
      </c>
      <c r="G39" s="11" t="s">
        <v>66</v>
      </c>
      <c r="H39" s="8" t="s">
        <v>169</v>
      </c>
      <c r="I39" s="12" t="s">
        <v>18</v>
      </c>
      <c r="J39" s="11" t="s">
        <v>68</v>
      </c>
      <c r="K39" s="11" t="s">
        <v>170</v>
      </c>
      <c r="L39" s="10" t="str">
        <f t="shared" si="1"/>
        <v>AAMB012</v>
      </c>
      <c r="M39" s="13">
        <f t="shared" si="2"/>
        <v>21</v>
      </c>
    </row>
    <row r="40" spans="1:13">
      <c r="A40" s="7">
        <v>39</v>
      </c>
      <c r="B40" s="8" t="s">
        <v>171</v>
      </c>
      <c r="C40" s="9" t="s">
        <v>13</v>
      </c>
      <c r="D40" s="10" t="s">
        <v>64</v>
      </c>
      <c r="E40" s="8" t="s">
        <v>172</v>
      </c>
      <c r="F40" s="8" t="str">
        <f t="shared" si="0"/>
        <v>ĐÁ MARBLE SATIN BEIGE</v>
      </c>
      <c r="G40" s="11" t="s">
        <v>66</v>
      </c>
      <c r="H40" s="8" t="s">
        <v>173</v>
      </c>
      <c r="I40" s="12" t="s">
        <v>18</v>
      </c>
      <c r="J40" s="11" t="s">
        <v>68</v>
      </c>
      <c r="K40" s="11" t="s">
        <v>174</v>
      </c>
      <c r="L40" s="10" t="str">
        <f t="shared" si="1"/>
        <v>AAMB013</v>
      </c>
      <c r="M40" s="13">
        <f t="shared" si="2"/>
        <v>21</v>
      </c>
    </row>
    <row r="41" spans="1:13">
      <c r="A41" s="7">
        <v>40</v>
      </c>
      <c r="B41" s="8" t="s">
        <v>175</v>
      </c>
      <c r="C41" s="9" t="s">
        <v>13</v>
      </c>
      <c r="D41" s="10" t="s">
        <v>64</v>
      </c>
      <c r="E41" s="8" t="s">
        <v>176</v>
      </c>
      <c r="F41" s="8" t="str">
        <f t="shared" si="0"/>
        <v>ĐÁ MARBLE SILVER GREY</v>
      </c>
      <c r="G41" s="11" t="s">
        <v>66</v>
      </c>
      <c r="H41" s="8" t="s">
        <v>177</v>
      </c>
      <c r="I41" s="12" t="s">
        <v>18</v>
      </c>
      <c r="J41" s="11" t="s">
        <v>68</v>
      </c>
      <c r="K41" s="11" t="s">
        <v>178</v>
      </c>
      <c r="L41" s="10" t="str">
        <f t="shared" si="1"/>
        <v>AAMB014</v>
      </c>
      <c r="M41" s="13">
        <f t="shared" si="2"/>
        <v>21</v>
      </c>
    </row>
    <row r="42" spans="1:13">
      <c r="A42" s="7">
        <v>41</v>
      </c>
      <c r="B42" s="8" t="s">
        <v>179</v>
      </c>
      <c r="C42" s="9" t="s">
        <v>13</v>
      </c>
      <c r="D42" s="10" t="s">
        <v>64</v>
      </c>
      <c r="E42" s="8" t="s">
        <v>180</v>
      </c>
      <c r="F42" s="8" t="str">
        <f t="shared" si="0"/>
        <v>ĐÁ MARBLE TUNDRA GREY</v>
      </c>
      <c r="G42" s="11" t="s">
        <v>66</v>
      </c>
      <c r="H42" s="8" t="s">
        <v>181</v>
      </c>
      <c r="I42" s="12" t="s">
        <v>18</v>
      </c>
      <c r="J42" s="11" t="s">
        <v>68</v>
      </c>
      <c r="K42" s="11" t="s">
        <v>182</v>
      </c>
      <c r="L42" s="10" t="str">
        <f t="shared" si="1"/>
        <v>AAMB015</v>
      </c>
      <c r="M42" s="13">
        <f t="shared" si="2"/>
        <v>21</v>
      </c>
    </row>
    <row r="43" spans="1:13">
      <c r="A43" s="7">
        <v>42</v>
      </c>
      <c r="B43" s="8" t="s">
        <v>183</v>
      </c>
      <c r="C43" s="9" t="s">
        <v>13</v>
      </c>
      <c r="D43" s="10" t="s">
        <v>64</v>
      </c>
      <c r="E43" s="8" t="s">
        <v>184</v>
      </c>
      <c r="F43" s="8" t="str">
        <f t="shared" si="0"/>
        <v>ĐÁ MARBLE HERMES GREY</v>
      </c>
      <c r="G43" s="11" t="s">
        <v>66</v>
      </c>
      <c r="H43" s="8" t="s">
        <v>185</v>
      </c>
      <c r="I43" s="12" t="s">
        <v>18</v>
      </c>
      <c r="J43" s="11" t="s">
        <v>68</v>
      </c>
      <c r="K43" s="11" t="s">
        <v>186</v>
      </c>
      <c r="L43" s="10" t="str">
        <f t="shared" si="1"/>
        <v>AAMB025</v>
      </c>
      <c r="M43" s="13">
        <f t="shared" si="2"/>
        <v>21</v>
      </c>
    </row>
    <row r="44" spans="1:13">
      <c r="A44" s="7">
        <v>43</v>
      </c>
      <c r="B44" s="8" t="s">
        <v>187</v>
      </c>
      <c r="C44" s="9" t="s">
        <v>13</v>
      </c>
      <c r="D44" s="10" t="s">
        <v>64</v>
      </c>
      <c r="E44" s="8" t="s">
        <v>188</v>
      </c>
      <c r="F44" s="8" t="str">
        <f t="shared" si="0"/>
        <v>ĐÁ MARBLE VENUS WHITE</v>
      </c>
      <c r="G44" s="11" t="s">
        <v>80</v>
      </c>
      <c r="H44" s="8" t="s">
        <v>189</v>
      </c>
      <c r="I44" s="12" t="s">
        <v>18</v>
      </c>
      <c r="J44" s="11" t="s">
        <v>68</v>
      </c>
      <c r="K44" s="11" t="s">
        <v>190</v>
      </c>
      <c r="L44" s="10" t="str">
        <f t="shared" si="1"/>
        <v>AAMB016</v>
      </c>
      <c r="M44" s="13">
        <f t="shared" si="2"/>
        <v>21</v>
      </c>
    </row>
    <row r="45" spans="1:13">
      <c r="A45" s="7">
        <v>44</v>
      </c>
      <c r="B45" s="8" t="s">
        <v>191</v>
      </c>
      <c r="C45" s="9" t="s">
        <v>13</v>
      </c>
      <c r="D45" s="10" t="s">
        <v>64</v>
      </c>
      <c r="E45" s="8" t="s">
        <v>192</v>
      </c>
      <c r="F45" s="8" t="str">
        <f t="shared" si="0"/>
        <v>ĐÁ MARBLE JAGUAR GREY</v>
      </c>
      <c r="G45" s="11" t="s">
        <v>80</v>
      </c>
      <c r="H45" s="8" t="s">
        <v>193</v>
      </c>
      <c r="I45" s="12" t="s">
        <v>18</v>
      </c>
      <c r="J45" s="11" t="s">
        <v>68</v>
      </c>
      <c r="K45" s="11" t="s">
        <v>194</v>
      </c>
      <c r="L45" s="10" t="str">
        <f t="shared" si="1"/>
        <v>AAMB019</v>
      </c>
      <c r="M45" s="13">
        <f t="shared" si="2"/>
        <v>21</v>
      </c>
    </row>
    <row r="46" spans="1:13">
      <c r="A46" s="7">
        <v>45</v>
      </c>
      <c r="B46" s="8" t="s">
        <v>195</v>
      </c>
      <c r="C46" s="9" t="s">
        <v>13</v>
      </c>
      <c r="D46" s="10" t="s">
        <v>64</v>
      </c>
      <c r="E46" s="8" t="s">
        <v>196</v>
      </c>
      <c r="F46" s="8" t="str">
        <f t="shared" si="0"/>
        <v>ĐÁ MARBLE GALAXY GREY</v>
      </c>
      <c r="G46" s="11" t="s">
        <v>80</v>
      </c>
      <c r="H46" s="8" t="s">
        <v>197</v>
      </c>
      <c r="I46" s="12" t="s">
        <v>18</v>
      </c>
      <c r="J46" s="11" t="s">
        <v>68</v>
      </c>
      <c r="K46" s="11" t="s">
        <v>198</v>
      </c>
      <c r="L46" s="10" t="str">
        <f t="shared" si="1"/>
        <v>AAMB024</v>
      </c>
      <c r="M46" s="13">
        <f t="shared" si="2"/>
        <v>21</v>
      </c>
    </row>
    <row r="47" spans="1:13">
      <c r="A47" s="7">
        <v>46</v>
      </c>
      <c r="B47" s="8" t="s">
        <v>199</v>
      </c>
      <c r="C47" s="9" t="s">
        <v>13</v>
      </c>
      <c r="D47" s="10" t="s">
        <v>64</v>
      </c>
      <c r="E47" s="8" t="s">
        <v>200</v>
      </c>
      <c r="F47" s="8" t="str">
        <f t="shared" si="0"/>
        <v>ĐÁ MARBLE MOLTON GREY</v>
      </c>
      <c r="G47" s="11" t="s">
        <v>72</v>
      </c>
      <c r="H47" s="8" t="s">
        <v>201</v>
      </c>
      <c r="I47" s="12" t="s">
        <v>18</v>
      </c>
      <c r="J47" s="11" t="s">
        <v>68</v>
      </c>
      <c r="K47" s="11" t="s">
        <v>202</v>
      </c>
      <c r="L47" s="10" t="str">
        <f t="shared" si="1"/>
        <v>AAMB026</v>
      </c>
      <c r="M47" s="13">
        <f t="shared" si="2"/>
        <v>21</v>
      </c>
    </row>
    <row r="48" spans="1:13">
      <c r="A48" s="7">
        <v>47</v>
      </c>
      <c r="B48" s="8" t="s">
        <v>203</v>
      </c>
      <c r="C48" s="9" t="s">
        <v>13</v>
      </c>
      <c r="D48" s="10" t="s">
        <v>64</v>
      </c>
      <c r="E48" s="8" t="s">
        <v>204</v>
      </c>
      <c r="F48" s="8" t="str">
        <f t="shared" si="0"/>
        <v>ĐÁ MARBLE SAVANA GREY</v>
      </c>
      <c r="G48" s="11" t="s">
        <v>72</v>
      </c>
      <c r="H48" s="8" t="s">
        <v>205</v>
      </c>
      <c r="I48" s="12" t="s">
        <v>18</v>
      </c>
      <c r="J48" s="11" t="s">
        <v>68</v>
      </c>
      <c r="K48" s="11" t="s">
        <v>206</v>
      </c>
      <c r="L48" s="10" t="str">
        <f t="shared" si="1"/>
        <v>AAMB027</v>
      </c>
      <c r="M48" s="13">
        <f t="shared" si="2"/>
        <v>21</v>
      </c>
    </row>
    <row r="49" spans="1:13">
      <c r="A49" s="7">
        <v>48</v>
      </c>
      <c r="B49" s="8" t="s">
        <v>207</v>
      </c>
      <c r="C49" s="9" t="s">
        <v>13</v>
      </c>
      <c r="D49" s="10" t="s">
        <v>64</v>
      </c>
      <c r="E49" s="8" t="s">
        <v>208</v>
      </c>
      <c r="F49" s="8" t="str">
        <f t="shared" si="0"/>
        <v>ĐÁ MARBLE PIETRA GREY</v>
      </c>
      <c r="G49" s="11" t="s">
        <v>72</v>
      </c>
      <c r="H49" s="8" t="s">
        <v>209</v>
      </c>
      <c r="I49" s="12" t="s">
        <v>18</v>
      </c>
      <c r="J49" s="11" t="s">
        <v>68</v>
      </c>
      <c r="K49" s="11" t="s">
        <v>210</v>
      </c>
      <c r="L49" s="10" t="str">
        <f t="shared" si="1"/>
        <v>AAMB030</v>
      </c>
      <c r="M49" s="13">
        <f t="shared" si="2"/>
        <v>21</v>
      </c>
    </row>
    <row r="50" spans="1:13">
      <c r="A50" s="7">
        <v>49</v>
      </c>
      <c r="B50" s="14">
        <v>100000000123</v>
      </c>
      <c r="C50" s="9" t="s">
        <v>13</v>
      </c>
      <c r="D50" s="10" t="s">
        <v>64</v>
      </c>
      <c r="E50" s="8" t="s">
        <v>211</v>
      </c>
      <c r="F50" s="8" t="str">
        <f t="shared" si="0"/>
        <v>ĐÁ MARBLE SAHARA NOIR</v>
      </c>
      <c r="G50" s="11" t="s">
        <v>72</v>
      </c>
      <c r="H50" s="8" t="s">
        <v>212</v>
      </c>
      <c r="I50" s="12" t="s">
        <v>18</v>
      </c>
      <c r="J50" s="11" t="s">
        <v>68</v>
      </c>
      <c r="K50" s="11" t="s">
        <v>213</v>
      </c>
      <c r="L50" s="10" t="str">
        <f t="shared" si="1"/>
        <v>AAMB038</v>
      </c>
      <c r="M50" s="13">
        <f t="shared" si="2"/>
        <v>21</v>
      </c>
    </row>
    <row r="51" spans="1:13">
      <c r="A51" s="7">
        <v>50</v>
      </c>
      <c r="B51" s="8" t="s">
        <v>214</v>
      </c>
      <c r="C51" s="9" t="s">
        <v>13</v>
      </c>
      <c r="D51" s="10" t="s">
        <v>64</v>
      </c>
      <c r="E51" s="8" t="s">
        <v>215</v>
      </c>
      <c r="F51" s="8" t="str">
        <f t="shared" si="0"/>
        <v>ĐÁ MARBLE OMAN BEIGE</v>
      </c>
      <c r="G51" s="11" t="s">
        <v>66</v>
      </c>
      <c r="H51" s="8" t="s">
        <v>216</v>
      </c>
      <c r="I51" s="12" t="s">
        <v>18</v>
      </c>
      <c r="J51" s="11" t="s">
        <v>68</v>
      </c>
      <c r="K51" s="11" t="s">
        <v>217</v>
      </c>
      <c r="L51" s="10" t="str">
        <f t="shared" si="1"/>
        <v>AAMB011</v>
      </c>
      <c r="M51" s="13">
        <f t="shared" si="2"/>
        <v>20</v>
      </c>
    </row>
    <row r="52" spans="1:13">
      <c r="A52" s="7">
        <v>51</v>
      </c>
      <c r="B52" s="8" t="s">
        <v>218</v>
      </c>
      <c r="C52" s="9" t="s">
        <v>13</v>
      </c>
      <c r="D52" s="10" t="s">
        <v>64</v>
      </c>
      <c r="E52" s="8" t="s">
        <v>219</v>
      </c>
      <c r="F52" s="8" t="str">
        <f t="shared" si="0"/>
        <v>ĐÁ MARBLE ARABESCATO</v>
      </c>
      <c r="G52" s="11" t="s">
        <v>80</v>
      </c>
      <c r="H52" s="8" t="s">
        <v>220</v>
      </c>
      <c r="I52" s="12" t="s">
        <v>18</v>
      </c>
      <c r="J52" s="11" t="s">
        <v>68</v>
      </c>
      <c r="K52" s="11" t="s">
        <v>20</v>
      </c>
      <c r="L52" s="10" t="str">
        <f t="shared" si="1"/>
        <v>AAMB001</v>
      </c>
      <c r="M52" s="13">
        <f t="shared" si="2"/>
        <v>20</v>
      </c>
    </row>
    <row r="53" spans="1:13">
      <c r="A53" s="7">
        <v>52</v>
      </c>
      <c r="B53" s="8" t="s">
        <v>221</v>
      </c>
      <c r="C53" s="9" t="s">
        <v>13</v>
      </c>
      <c r="D53" s="10" t="s">
        <v>64</v>
      </c>
      <c r="E53" s="8" t="s">
        <v>222</v>
      </c>
      <c r="F53" s="8" t="str">
        <f t="shared" si="0"/>
        <v>ĐÁ MARBLE ROYAL GREY</v>
      </c>
      <c r="G53" s="11" t="s">
        <v>72</v>
      </c>
      <c r="H53" s="8" t="s">
        <v>223</v>
      </c>
      <c r="I53" s="12" t="s">
        <v>18</v>
      </c>
      <c r="J53" s="11" t="s">
        <v>68</v>
      </c>
      <c r="K53" s="11" t="s">
        <v>224</v>
      </c>
      <c r="L53" s="10" t="str">
        <f t="shared" si="1"/>
        <v>AAMB046</v>
      </c>
      <c r="M53" s="13">
        <f t="shared" si="2"/>
        <v>20</v>
      </c>
    </row>
    <row r="54" spans="1:13">
      <c r="A54" s="7">
        <v>53</v>
      </c>
      <c r="B54" s="8" t="s">
        <v>225</v>
      </c>
      <c r="C54" s="9" t="s">
        <v>13</v>
      </c>
      <c r="D54" s="10" t="s">
        <v>64</v>
      </c>
      <c r="E54" s="8" t="s">
        <v>226</v>
      </c>
      <c r="F54" s="8" t="str">
        <f t="shared" si="0"/>
        <v>ĐÁ MARBLE MOON LIGHT</v>
      </c>
      <c r="G54" s="11" t="s">
        <v>72</v>
      </c>
      <c r="H54" s="8" t="s">
        <v>227</v>
      </c>
      <c r="I54" s="12" t="s">
        <v>18</v>
      </c>
      <c r="J54" s="11" t="s">
        <v>68</v>
      </c>
      <c r="K54" s="11" t="s">
        <v>228</v>
      </c>
      <c r="L54" s="10" t="str">
        <f t="shared" si="1"/>
        <v>AAMB047</v>
      </c>
      <c r="M54" s="13">
        <f t="shared" si="2"/>
        <v>20</v>
      </c>
    </row>
    <row r="55" spans="1:13">
      <c r="A55" s="7">
        <v>54</v>
      </c>
      <c r="B55" s="8" t="s">
        <v>229</v>
      </c>
      <c r="C55" s="9" t="s">
        <v>13</v>
      </c>
      <c r="D55" s="10" t="s">
        <v>64</v>
      </c>
      <c r="E55" s="8" t="s">
        <v>230</v>
      </c>
      <c r="F55" s="8" t="str">
        <f t="shared" si="0"/>
        <v>ĐÁ MARBLE AMAN BROWN</v>
      </c>
      <c r="G55" s="11" t="s">
        <v>104</v>
      </c>
      <c r="H55" s="8" t="s">
        <v>231</v>
      </c>
      <c r="I55" s="12" t="s">
        <v>18</v>
      </c>
      <c r="J55" s="11" t="s">
        <v>68</v>
      </c>
      <c r="K55" s="11" t="s">
        <v>232</v>
      </c>
      <c r="L55" s="10" t="str">
        <f t="shared" si="1"/>
        <v>AAMB044</v>
      </c>
      <c r="M55" s="13">
        <f t="shared" si="2"/>
        <v>20</v>
      </c>
    </row>
    <row r="56" spans="1:13">
      <c r="A56" s="7">
        <v>55</v>
      </c>
      <c r="B56" s="8" t="s">
        <v>233</v>
      </c>
      <c r="C56" s="9" t="s">
        <v>13</v>
      </c>
      <c r="D56" s="10" t="s">
        <v>64</v>
      </c>
      <c r="E56" s="8" t="s">
        <v>234</v>
      </c>
      <c r="F56" s="8" t="str">
        <f t="shared" si="0"/>
        <v>ĐÁ MARBLE EXUMA GREY</v>
      </c>
      <c r="G56" s="11" t="s">
        <v>104</v>
      </c>
      <c r="H56" s="8" t="s">
        <v>235</v>
      </c>
      <c r="I56" s="12" t="s">
        <v>18</v>
      </c>
      <c r="J56" s="11" t="s">
        <v>68</v>
      </c>
      <c r="K56" s="11" t="s">
        <v>236</v>
      </c>
      <c r="L56" s="10" t="str">
        <f t="shared" si="1"/>
        <v>AAMB050</v>
      </c>
      <c r="M56" s="13">
        <f t="shared" si="2"/>
        <v>20</v>
      </c>
    </row>
    <row r="57" spans="1:13">
      <c r="A57" s="7">
        <v>56</v>
      </c>
      <c r="B57" s="8" t="s">
        <v>237</v>
      </c>
      <c r="C57" s="9" t="s">
        <v>13</v>
      </c>
      <c r="D57" s="10" t="s">
        <v>64</v>
      </c>
      <c r="E57" s="8" t="s">
        <v>238</v>
      </c>
      <c r="F57" s="8" t="str">
        <f t="shared" si="0"/>
        <v>ĐÁ MARBLE TRAVENTINE</v>
      </c>
      <c r="G57" s="11" t="s">
        <v>88</v>
      </c>
      <c r="H57" s="8" t="s">
        <v>239</v>
      </c>
      <c r="I57" s="12" t="s">
        <v>18</v>
      </c>
      <c r="J57" s="11" t="s">
        <v>68</v>
      </c>
      <c r="K57" s="11" t="s">
        <v>240</v>
      </c>
      <c r="L57" s="10" t="str">
        <f t="shared" si="1"/>
        <v>AAMB033</v>
      </c>
      <c r="M57" s="13">
        <f t="shared" si="2"/>
        <v>20</v>
      </c>
    </row>
    <row r="58" spans="1:13">
      <c r="A58" s="7">
        <v>57</v>
      </c>
      <c r="B58" s="8" t="s">
        <v>241</v>
      </c>
      <c r="C58" s="9" t="s">
        <v>13</v>
      </c>
      <c r="D58" s="10" t="s">
        <v>64</v>
      </c>
      <c r="E58" s="8" t="s">
        <v>242</v>
      </c>
      <c r="F58" s="8" t="str">
        <f t="shared" si="0"/>
        <v>ĐÁ MARBLE GREY JADE</v>
      </c>
      <c r="G58" s="11" t="s">
        <v>72</v>
      </c>
      <c r="H58" s="8" t="s">
        <v>243</v>
      </c>
      <c r="I58" s="12" t="s">
        <v>18</v>
      </c>
      <c r="J58" s="11" t="s">
        <v>68</v>
      </c>
      <c r="K58" s="11" t="s">
        <v>244</v>
      </c>
      <c r="L58" s="10" t="str">
        <f t="shared" si="1"/>
        <v>AAMB042</v>
      </c>
      <c r="M58" s="13">
        <f t="shared" si="2"/>
        <v>19</v>
      </c>
    </row>
    <row r="59" spans="1:13">
      <c r="A59" s="7">
        <v>58</v>
      </c>
      <c r="B59" s="8" t="s">
        <v>245</v>
      </c>
      <c r="C59" s="9" t="s">
        <v>13</v>
      </c>
      <c r="D59" s="10" t="s">
        <v>64</v>
      </c>
      <c r="E59" s="8" t="s">
        <v>246</v>
      </c>
      <c r="F59" s="8" t="str">
        <f t="shared" si="0"/>
        <v>ĐÁ MARBLE BLUE ROMA</v>
      </c>
      <c r="G59" s="11" t="s">
        <v>104</v>
      </c>
      <c r="H59" s="8" t="s">
        <v>247</v>
      </c>
      <c r="I59" s="12" t="s">
        <v>18</v>
      </c>
      <c r="J59" s="11" t="s">
        <v>68</v>
      </c>
      <c r="K59" s="11" t="s">
        <v>248</v>
      </c>
      <c r="L59" s="10" t="str">
        <f t="shared" si="1"/>
        <v>AAMB051</v>
      </c>
      <c r="M59" s="13">
        <f t="shared" si="2"/>
        <v>19</v>
      </c>
    </row>
    <row r="60" spans="1:13">
      <c r="A60" s="7">
        <v>59</v>
      </c>
      <c r="B60" s="8" t="s">
        <v>249</v>
      </c>
      <c r="C60" s="9" t="s">
        <v>13</v>
      </c>
      <c r="D60" s="10" t="s">
        <v>64</v>
      </c>
      <c r="E60" s="8" t="s">
        <v>250</v>
      </c>
      <c r="F60" s="8" t="str">
        <f t="shared" si="0"/>
        <v>ĐÁ MARBLE STATURIO</v>
      </c>
      <c r="G60" s="11" t="s">
        <v>80</v>
      </c>
      <c r="H60" s="8" t="s">
        <v>251</v>
      </c>
      <c r="I60" s="12" t="s">
        <v>18</v>
      </c>
      <c r="J60" s="11" t="s">
        <v>68</v>
      </c>
      <c r="K60" s="11" t="s">
        <v>62</v>
      </c>
      <c r="L60" s="10" t="str">
        <f t="shared" si="1"/>
        <v>AAMB007</v>
      </c>
      <c r="M60" s="13">
        <f t="shared" si="2"/>
        <v>18</v>
      </c>
    </row>
    <row r="61" spans="1:13">
      <c r="A61" s="7">
        <v>60</v>
      </c>
      <c r="B61" s="14">
        <v>100001000589</v>
      </c>
      <c r="C61" s="9" t="s">
        <v>13</v>
      </c>
      <c r="D61" s="10" t="s">
        <v>64</v>
      </c>
      <c r="E61" s="8" t="s">
        <v>252</v>
      </c>
      <c r="F61" s="8" t="str">
        <f t="shared" si="0"/>
        <v>ĐÁ MARBLE FUSHION</v>
      </c>
      <c r="G61" s="11" t="s">
        <v>104</v>
      </c>
      <c r="H61" s="8" t="s">
        <v>253</v>
      </c>
      <c r="I61" s="12" t="s">
        <v>18</v>
      </c>
      <c r="J61" s="11" t="s">
        <v>68</v>
      </c>
      <c r="K61" s="11" t="s">
        <v>254</v>
      </c>
      <c r="L61" s="10" t="str">
        <f t="shared" si="1"/>
        <v>AAMB039</v>
      </c>
      <c r="M61" s="13">
        <f t="shared" si="2"/>
        <v>17</v>
      </c>
    </row>
    <row r="62" spans="1:13">
      <c r="A62" s="7">
        <v>61</v>
      </c>
      <c r="B62" s="8" t="s">
        <v>255</v>
      </c>
      <c r="C62" s="9" t="s">
        <v>13</v>
      </c>
      <c r="D62" s="10" t="s">
        <v>64</v>
      </c>
      <c r="E62" s="8" t="s">
        <v>256</v>
      </c>
      <c r="F62" s="8" t="str">
        <f t="shared" si="0"/>
        <v>ĐÁ MARBLE SOFITA</v>
      </c>
      <c r="G62" s="11" t="s">
        <v>72</v>
      </c>
      <c r="H62" s="8" t="s">
        <v>257</v>
      </c>
      <c r="I62" s="12" t="s">
        <v>18</v>
      </c>
      <c r="J62" s="11" t="s">
        <v>68</v>
      </c>
      <c r="K62" s="11" t="s">
        <v>258</v>
      </c>
      <c r="L62" s="10" t="str">
        <f t="shared" si="1"/>
        <v>AAMB032</v>
      </c>
      <c r="M62" s="13">
        <f t="shared" si="2"/>
        <v>16</v>
      </c>
    </row>
    <row r="63" spans="1:13">
      <c r="A63" s="7">
        <v>62</v>
      </c>
      <c r="B63" s="8" t="s">
        <v>259</v>
      </c>
      <c r="C63" s="9" t="s">
        <v>13</v>
      </c>
      <c r="D63" s="10" t="s">
        <v>64</v>
      </c>
      <c r="E63" s="8" t="s">
        <v>260</v>
      </c>
      <c r="F63" s="8" t="str">
        <f t="shared" si="0"/>
        <v>ĐÁ MARBLE PESCO</v>
      </c>
      <c r="G63" s="11" t="s">
        <v>80</v>
      </c>
      <c r="H63" s="8" t="s">
        <v>261</v>
      </c>
      <c r="I63" s="12" t="s">
        <v>18</v>
      </c>
      <c r="J63" s="11" t="s">
        <v>68</v>
      </c>
      <c r="K63" s="11" t="s">
        <v>262</v>
      </c>
      <c r="L63" s="10" t="str">
        <f t="shared" si="1"/>
        <v>AAMB029</v>
      </c>
      <c r="M63" s="13">
        <f t="shared" si="2"/>
        <v>15</v>
      </c>
    </row>
    <row r="64" spans="1:13">
      <c r="A64" s="7">
        <v>63</v>
      </c>
      <c r="B64" s="8" t="s">
        <v>263</v>
      </c>
      <c r="C64" s="9" t="s">
        <v>13</v>
      </c>
      <c r="D64" s="10" t="s">
        <v>264</v>
      </c>
      <c r="E64" s="8" t="s">
        <v>265</v>
      </c>
      <c r="F64" s="8" t="str">
        <f t="shared" si="0"/>
        <v>ĐÁ NUNG KẾT M08 MACHIA NHÁM</v>
      </c>
      <c r="G64" s="11" t="s">
        <v>266</v>
      </c>
      <c r="H64" s="8" t="s">
        <v>267</v>
      </c>
      <c r="I64" s="12" t="s">
        <v>18</v>
      </c>
      <c r="J64" s="11" t="s">
        <v>268</v>
      </c>
      <c r="K64" s="11" t="s">
        <v>20</v>
      </c>
      <c r="L64" s="10" t="str">
        <f t="shared" si="1"/>
        <v>AANK001</v>
      </c>
      <c r="M64" s="13">
        <f t="shared" si="2"/>
        <v>27</v>
      </c>
    </row>
    <row r="65" spans="1:13">
      <c r="A65" s="7">
        <v>64</v>
      </c>
      <c r="B65" s="8" t="s">
        <v>269</v>
      </c>
      <c r="C65" s="9" t="s">
        <v>13</v>
      </c>
      <c r="D65" s="10" t="s">
        <v>270</v>
      </c>
      <c r="E65" s="8" t="s">
        <v>271</v>
      </c>
      <c r="F65" s="8" t="str">
        <f t="shared" si="0"/>
        <v>ĐÁ ONYX HYMALYAN</v>
      </c>
      <c r="G65" s="11" t="s">
        <v>100</v>
      </c>
      <c r="H65" s="8" t="s">
        <v>272</v>
      </c>
      <c r="I65" s="12" t="s">
        <v>18</v>
      </c>
      <c r="J65" s="11" t="s">
        <v>273</v>
      </c>
      <c r="K65" s="11" t="s">
        <v>27</v>
      </c>
      <c r="L65" s="10" t="str">
        <f t="shared" si="1"/>
        <v>AAON003</v>
      </c>
      <c r="M65" s="13">
        <f t="shared" si="2"/>
        <v>16</v>
      </c>
    </row>
    <row r="66" spans="1:13">
      <c r="A66" s="7">
        <v>65</v>
      </c>
      <c r="B66" s="8" t="s">
        <v>274</v>
      </c>
      <c r="C66" s="9" t="s">
        <v>13</v>
      </c>
      <c r="D66" s="10" t="s">
        <v>270</v>
      </c>
      <c r="E66" s="8" t="s">
        <v>275</v>
      </c>
      <c r="F66" s="8" t="str">
        <f t="shared" ref="F66:F95" si="3">CONCATENATE(C66," ",D66," ",E66)</f>
        <v>ĐÁ ONYX RAINBOW</v>
      </c>
      <c r="G66" s="11" t="s">
        <v>100</v>
      </c>
      <c r="H66" s="8" t="s">
        <v>276</v>
      </c>
      <c r="I66" s="12" t="s">
        <v>18</v>
      </c>
      <c r="J66" s="11" t="s">
        <v>273</v>
      </c>
      <c r="K66" s="11" t="s">
        <v>20</v>
      </c>
      <c r="L66" s="10" t="str">
        <f t="shared" ref="L66:L95" si="4">CONCATENATE(I66,"",J66,"",K66)</f>
        <v>AAON001</v>
      </c>
      <c r="M66" s="13">
        <f t="shared" ref="M66:M95" si="5">LEN(F66)</f>
        <v>15</v>
      </c>
    </row>
    <row r="67" spans="1:13">
      <c r="A67" s="7">
        <v>66</v>
      </c>
      <c r="B67" s="8" t="s">
        <v>277</v>
      </c>
      <c r="C67" s="9" t="s">
        <v>13</v>
      </c>
      <c r="D67" s="10" t="s">
        <v>270</v>
      </c>
      <c r="E67" s="8" t="s">
        <v>278</v>
      </c>
      <c r="F67" s="8" t="str">
        <f t="shared" si="3"/>
        <v>ĐÁ ONYX WHITE</v>
      </c>
      <c r="G67" s="11" t="s">
        <v>100</v>
      </c>
      <c r="H67" s="8" t="s">
        <v>279</v>
      </c>
      <c r="I67" s="12" t="s">
        <v>18</v>
      </c>
      <c r="J67" s="11" t="s">
        <v>273</v>
      </c>
      <c r="K67" s="11" t="s">
        <v>47</v>
      </c>
      <c r="L67" s="10" t="str">
        <f t="shared" si="4"/>
        <v>AAON002</v>
      </c>
      <c r="M67" s="13">
        <f t="shared" si="5"/>
        <v>13</v>
      </c>
    </row>
    <row r="68" spans="1:13">
      <c r="A68" s="7">
        <v>67</v>
      </c>
      <c r="B68" s="8" t="s">
        <v>280</v>
      </c>
      <c r="C68" s="9" t="s">
        <v>13</v>
      </c>
      <c r="D68" s="10" t="s">
        <v>281</v>
      </c>
      <c r="E68" s="8" t="s">
        <v>282</v>
      </c>
      <c r="F68" s="8" t="str">
        <f t="shared" si="3"/>
        <v>ĐÁ QUARTZ S104VN22M1 THẠCH ANH VÀNG NGỌC</v>
      </c>
      <c r="G68" s="11" t="s">
        <v>283</v>
      </c>
      <c r="H68" s="8" t="s">
        <v>284</v>
      </c>
      <c r="I68" s="12" t="s">
        <v>18</v>
      </c>
      <c r="J68" s="11" t="s">
        <v>285</v>
      </c>
      <c r="K68" s="11" t="s">
        <v>202</v>
      </c>
      <c r="L68" s="10" t="str">
        <f t="shared" si="4"/>
        <v>AAQU026</v>
      </c>
      <c r="M68" s="13">
        <f t="shared" si="5"/>
        <v>40</v>
      </c>
    </row>
    <row r="69" spans="1:13">
      <c r="A69" s="7">
        <v>68</v>
      </c>
      <c r="B69" s="8" t="s">
        <v>286</v>
      </c>
      <c r="C69" s="9" t="s">
        <v>13</v>
      </c>
      <c r="D69" s="10" t="s">
        <v>281</v>
      </c>
      <c r="E69" s="8" t="s">
        <v>287</v>
      </c>
      <c r="F69" s="8" t="str">
        <f t="shared" si="3"/>
        <v>ĐÁ QUARTZ BQ8920 VICOSTONE FORZA</v>
      </c>
      <c r="G69" s="11" t="s">
        <v>283</v>
      </c>
      <c r="H69" s="8" t="s">
        <v>288</v>
      </c>
      <c r="I69" s="12" t="s">
        <v>18</v>
      </c>
      <c r="J69" s="11" t="s">
        <v>285</v>
      </c>
      <c r="K69" s="11" t="s">
        <v>69</v>
      </c>
      <c r="L69" s="10" t="str">
        <f t="shared" si="4"/>
        <v>AAQU021</v>
      </c>
      <c r="M69" s="13">
        <f t="shared" si="5"/>
        <v>32</v>
      </c>
    </row>
    <row r="70" spans="1:13">
      <c r="A70" s="7">
        <v>69</v>
      </c>
      <c r="B70" s="8" t="s">
        <v>289</v>
      </c>
      <c r="C70" s="9" t="s">
        <v>13</v>
      </c>
      <c r="D70" s="10" t="s">
        <v>281</v>
      </c>
      <c r="E70" s="8" t="s">
        <v>290</v>
      </c>
      <c r="F70" s="8" t="str">
        <f t="shared" si="3"/>
        <v>ĐÁ QUARTZ PQ169 CALACATTA GOLD</v>
      </c>
      <c r="G70" s="11" t="s">
        <v>283</v>
      </c>
      <c r="H70" s="8" t="s">
        <v>291</v>
      </c>
      <c r="I70" s="12" t="s">
        <v>18</v>
      </c>
      <c r="J70" s="11" t="s">
        <v>285</v>
      </c>
      <c r="K70" s="11" t="s">
        <v>62</v>
      </c>
      <c r="L70" s="10" t="str">
        <f t="shared" si="4"/>
        <v>AAQU007</v>
      </c>
      <c r="M70" s="13">
        <f t="shared" si="5"/>
        <v>30</v>
      </c>
    </row>
    <row r="71" spans="1:13">
      <c r="A71" s="7">
        <v>70</v>
      </c>
      <c r="B71" s="8" t="s">
        <v>292</v>
      </c>
      <c r="C71" s="9" t="s">
        <v>13</v>
      </c>
      <c r="D71" s="10" t="s">
        <v>281</v>
      </c>
      <c r="E71" s="8" t="s">
        <v>293</v>
      </c>
      <c r="F71" s="8" t="str">
        <f t="shared" si="3"/>
        <v>ĐÁ QUARTZ BQ2600 VALLEY WHITE</v>
      </c>
      <c r="G71" s="11" t="s">
        <v>283</v>
      </c>
      <c r="H71" s="8" t="s">
        <v>294</v>
      </c>
      <c r="I71" s="12" t="s">
        <v>18</v>
      </c>
      <c r="J71" s="11" t="s">
        <v>285</v>
      </c>
      <c r="K71" s="11" t="s">
        <v>217</v>
      </c>
      <c r="L71" s="10" t="str">
        <f t="shared" si="4"/>
        <v>AAQU011</v>
      </c>
      <c r="M71" s="13">
        <f t="shared" si="5"/>
        <v>29</v>
      </c>
    </row>
    <row r="72" spans="1:13">
      <c r="A72" s="7">
        <v>71</v>
      </c>
      <c r="B72" s="14">
        <v>100001000611</v>
      </c>
      <c r="C72" s="9" t="s">
        <v>13</v>
      </c>
      <c r="D72" s="10" t="s">
        <v>281</v>
      </c>
      <c r="E72" s="8" t="s">
        <v>295</v>
      </c>
      <c r="F72" s="8" t="str">
        <f t="shared" si="3"/>
        <v>ĐÁ QUARTZ C4246 CASLA MYSTERY</v>
      </c>
      <c r="G72" s="11" t="s">
        <v>283</v>
      </c>
      <c r="H72" s="8" t="s">
        <v>296</v>
      </c>
      <c r="I72" s="12" t="s">
        <v>18</v>
      </c>
      <c r="J72" s="11" t="s">
        <v>285</v>
      </c>
      <c r="K72" s="11" t="s">
        <v>117</v>
      </c>
      <c r="L72" s="10" t="str">
        <f t="shared" si="4"/>
        <v>AAQU022</v>
      </c>
      <c r="M72" s="13">
        <f t="shared" si="5"/>
        <v>29</v>
      </c>
    </row>
    <row r="73" spans="1:13">
      <c r="A73" s="7">
        <v>72</v>
      </c>
      <c r="B73" s="8" t="s">
        <v>297</v>
      </c>
      <c r="C73" s="9" t="s">
        <v>13</v>
      </c>
      <c r="D73" s="10" t="s">
        <v>281</v>
      </c>
      <c r="E73" s="8" t="s">
        <v>298</v>
      </c>
      <c r="F73" s="8" t="str">
        <f t="shared" si="3"/>
        <v>ĐÁ QUARTZ QS306 CARRARA OCEAN</v>
      </c>
      <c r="G73" s="11" t="s">
        <v>283</v>
      </c>
      <c r="H73" s="8" t="s">
        <v>299</v>
      </c>
      <c r="I73" s="12" t="s">
        <v>18</v>
      </c>
      <c r="J73" s="11" t="s">
        <v>285</v>
      </c>
      <c r="K73" s="11" t="s">
        <v>152</v>
      </c>
      <c r="L73" s="10" t="str">
        <f t="shared" si="4"/>
        <v>AAQU023</v>
      </c>
      <c r="M73" s="13">
        <f t="shared" si="5"/>
        <v>29</v>
      </c>
    </row>
    <row r="74" spans="1:13">
      <c r="A74" s="7">
        <v>73</v>
      </c>
      <c r="B74" s="8" t="s">
        <v>300</v>
      </c>
      <c r="C74" s="9" t="s">
        <v>13</v>
      </c>
      <c r="D74" s="10" t="s">
        <v>281</v>
      </c>
      <c r="E74" s="8" t="s">
        <v>301</v>
      </c>
      <c r="F74" s="8" t="str">
        <f t="shared" si="3"/>
        <v>ĐÁ QUARTZ  6131 BIANCO DRIFT</v>
      </c>
      <c r="G74" s="11" t="s">
        <v>283</v>
      </c>
      <c r="H74" s="8" t="s">
        <v>302</v>
      </c>
      <c r="I74" s="12" t="s">
        <v>18</v>
      </c>
      <c r="J74" s="11" t="s">
        <v>285</v>
      </c>
      <c r="K74" s="11" t="s">
        <v>20</v>
      </c>
      <c r="L74" s="10" t="str">
        <f t="shared" si="4"/>
        <v>AAQU001</v>
      </c>
      <c r="M74" s="13">
        <f t="shared" si="5"/>
        <v>28</v>
      </c>
    </row>
    <row r="75" spans="1:13">
      <c r="A75" s="7">
        <v>74</v>
      </c>
      <c r="B75" s="8" t="s">
        <v>303</v>
      </c>
      <c r="C75" s="9" t="s">
        <v>13</v>
      </c>
      <c r="D75" s="10" t="s">
        <v>281</v>
      </c>
      <c r="E75" s="8" t="s">
        <v>304</v>
      </c>
      <c r="F75" s="8" t="str">
        <f t="shared" si="3"/>
        <v>ĐÁ QUARTZ BQ370 SHELLS WHITE</v>
      </c>
      <c r="G75" s="11" t="s">
        <v>283</v>
      </c>
      <c r="H75" s="8" t="s">
        <v>305</v>
      </c>
      <c r="I75" s="12" t="s">
        <v>18</v>
      </c>
      <c r="J75" s="11" t="s">
        <v>285</v>
      </c>
      <c r="K75" s="11" t="s">
        <v>47</v>
      </c>
      <c r="L75" s="10" t="str">
        <f t="shared" si="4"/>
        <v>AAQU002</v>
      </c>
      <c r="M75" s="13">
        <f t="shared" si="5"/>
        <v>28</v>
      </c>
    </row>
    <row r="76" spans="1:13">
      <c r="A76" s="7">
        <v>75</v>
      </c>
      <c r="B76" s="8" t="s">
        <v>306</v>
      </c>
      <c r="C76" s="9" t="s">
        <v>13</v>
      </c>
      <c r="D76" s="10" t="s">
        <v>281</v>
      </c>
      <c r="E76" s="8" t="s">
        <v>307</v>
      </c>
      <c r="F76" s="8" t="str">
        <f t="shared" si="3"/>
        <v>ĐÁ QUARTZ BQ9310 SILVER SEA</v>
      </c>
      <c r="G76" s="11" t="s">
        <v>283</v>
      </c>
      <c r="H76" s="8" t="s">
        <v>308</v>
      </c>
      <c r="I76" s="12" t="s">
        <v>18</v>
      </c>
      <c r="J76" s="11" t="s">
        <v>285</v>
      </c>
      <c r="K76" s="11" t="s">
        <v>58</v>
      </c>
      <c r="L76" s="10" t="str">
        <f t="shared" si="4"/>
        <v>AAQU005</v>
      </c>
      <c r="M76" s="13">
        <f t="shared" si="5"/>
        <v>27</v>
      </c>
    </row>
    <row r="77" spans="1:13">
      <c r="A77" s="7">
        <v>76</v>
      </c>
      <c r="B77" s="8" t="s">
        <v>309</v>
      </c>
      <c r="C77" s="9" t="s">
        <v>13</v>
      </c>
      <c r="D77" s="10" t="s">
        <v>281</v>
      </c>
      <c r="E77" s="8" t="s">
        <v>310</v>
      </c>
      <c r="F77" s="8" t="str">
        <f t="shared" si="3"/>
        <v>ĐÁ QUARTZ QS525 AURORA SNOW</v>
      </c>
      <c r="G77" s="11" t="s">
        <v>283</v>
      </c>
      <c r="H77" s="8" t="s">
        <v>311</v>
      </c>
      <c r="I77" s="12" t="s">
        <v>18</v>
      </c>
      <c r="J77" s="11" t="s">
        <v>285</v>
      </c>
      <c r="K77" s="11" t="s">
        <v>190</v>
      </c>
      <c r="L77" s="10" t="str">
        <f t="shared" si="4"/>
        <v>AAQU016</v>
      </c>
      <c r="M77" s="13">
        <f t="shared" si="5"/>
        <v>27</v>
      </c>
    </row>
    <row r="78" spans="1:13">
      <c r="A78" s="7">
        <v>77</v>
      </c>
      <c r="B78" s="8" t="s">
        <v>312</v>
      </c>
      <c r="C78" s="9" t="s">
        <v>13</v>
      </c>
      <c r="D78" s="10" t="s">
        <v>281</v>
      </c>
      <c r="E78" s="8" t="s">
        <v>313</v>
      </c>
      <c r="F78" s="8" t="str">
        <f t="shared" si="3"/>
        <v>ĐÁ QUARTZ QS503 SNOW WHITE</v>
      </c>
      <c r="G78" s="11" t="s">
        <v>283</v>
      </c>
      <c r="H78" s="8" t="s">
        <v>314</v>
      </c>
      <c r="I78" s="12" t="s">
        <v>18</v>
      </c>
      <c r="J78" s="11" t="s">
        <v>285</v>
      </c>
      <c r="K78" s="11" t="s">
        <v>194</v>
      </c>
      <c r="L78" s="10" t="str">
        <f t="shared" si="4"/>
        <v>AAQU019</v>
      </c>
      <c r="M78" s="13">
        <f t="shared" si="5"/>
        <v>26</v>
      </c>
    </row>
    <row r="79" spans="1:13">
      <c r="A79" s="7">
        <v>78</v>
      </c>
      <c r="B79" s="8" t="s">
        <v>315</v>
      </c>
      <c r="C79" s="9" t="s">
        <v>13</v>
      </c>
      <c r="D79" s="10" t="s">
        <v>281</v>
      </c>
      <c r="E79" s="8" t="s">
        <v>316</v>
      </c>
      <c r="F79" s="8" t="str">
        <f t="shared" si="3"/>
        <v>ĐÁ QUARTZ PS350 STORM GREY</v>
      </c>
      <c r="G79" s="11" t="s">
        <v>283</v>
      </c>
      <c r="H79" s="8" t="s">
        <v>317</v>
      </c>
      <c r="I79" s="12" t="s">
        <v>18</v>
      </c>
      <c r="J79" s="11" t="s">
        <v>285</v>
      </c>
      <c r="K79" s="11" t="s">
        <v>148</v>
      </c>
      <c r="L79" s="10" t="str">
        <f t="shared" si="4"/>
        <v>AAQU020</v>
      </c>
      <c r="M79" s="13">
        <f t="shared" si="5"/>
        <v>26</v>
      </c>
    </row>
    <row r="80" spans="1:13">
      <c r="A80" s="7">
        <v>79</v>
      </c>
      <c r="B80" s="8" t="s">
        <v>318</v>
      </c>
      <c r="C80" s="9" t="s">
        <v>13</v>
      </c>
      <c r="D80" s="10" t="s">
        <v>281</v>
      </c>
      <c r="E80" s="8" t="s">
        <v>319</v>
      </c>
      <c r="F80" s="8" t="str">
        <f t="shared" si="3"/>
        <v>ĐÁ QUARTZ BQ8815 MISTERIO</v>
      </c>
      <c r="G80" s="11" t="s">
        <v>283</v>
      </c>
      <c r="H80" s="8" t="s">
        <v>320</v>
      </c>
      <c r="I80" s="12" t="s">
        <v>18</v>
      </c>
      <c r="J80" s="11" t="s">
        <v>285</v>
      </c>
      <c r="K80" s="11" t="s">
        <v>27</v>
      </c>
      <c r="L80" s="10" t="str">
        <f t="shared" si="4"/>
        <v>AAQU003</v>
      </c>
      <c r="M80" s="13">
        <f t="shared" si="5"/>
        <v>25</v>
      </c>
    </row>
    <row r="81" spans="1:13">
      <c r="A81" s="7">
        <v>80</v>
      </c>
      <c r="B81" s="8" t="s">
        <v>321</v>
      </c>
      <c r="C81" s="9" t="s">
        <v>13</v>
      </c>
      <c r="D81" s="10" t="s">
        <v>281</v>
      </c>
      <c r="E81" s="8" t="s">
        <v>322</v>
      </c>
      <c r="F81" s="8" t="str">
        <f t="shared" si="3"/>
        <v>ĐÁ QUARTZ C4204 CALACATTA</v>
      </c>
      <c r="G81" s="11" t="s">
        <v>283</v>
      </c>
      <c r="H81" s="8" t="s">
        <v>323</v>
      </c>
      <c r="I81" s="12" t="s">
        <v>18</v>
      </c>
      <c r="J81" s="11" t="s">
        <v>285</v>
      </c>
      <c r="K81" s="11" t="s">
        <v>51</v>
      </c>
      <c r="L81" s="10" t="str">
        <f t="shared" si="4"/>
        <v>AAQU004</v>
      </c>
      <c r="M81" s="13">
        <f t="shared" si="5"/>
        <v>25</v>
      </c>
    </row>
    <row r="82" spans="1:13">
      <c r="A82" s="7">
        <v>81</v>
      </c>
      <c r="B82" s="8" t="s">
        <v>324</v>
      </c>
      <c r="C82" s="9" t="s">
        <v>13</v>
      </c>
      <c r="D82" s="10" t="s">
        <v>281</v>
      </c>
      <c r="E82" s="8" t="s">
        <v>325</v>
      </c>
      <c r="F82" s="8" t="str">
        <f t="shared" si="3"/>
        <v>ĐÁ QUARTZ BS4010 CAMELLA</v>
      </c>
      <c r="G82" s="11" t="s">
        <v>283</v>
      </c>
      <c r="H82" s="8" t="s">
        <v>326</v>
      </c>
      <c r="I82" s="12" t="s">
        <v>18</v>
      </c>
      <c r="J82" s="11" t="s">
        <v>285</v>
      </c>
      <c r="K82" s="11" t="s">
        <v>178</v>
      </c>
      <c r="L82" s="10" t="str">
        <f t="shared" si="4"/>
        <v>AAQU014</v>
      </c>
      <c r="M82" s="13">
        <f t="shared" si="5"/>
        <v>24</v>
      </c>
    </row>
    <row r="83" spans="1:13">
      <c r="A83" s="7">
        <v>82</v>
      </c>
      <c r="B83" s="8" t="s">
        <v>327</v>
      </c>
      <c r="C83" s="9" t="s">
        <v>13</v>
      </c>
      <c r="D83" s="10" t="s">
        <v>281</v>
      </c>
      <c r="E83" s="8" t="s">
        <v>328</v>
      </c>
      <c r="F83" s="8" t="str">
        <f t="shared" si="3"/>
        <v>ĐÁ QUARTZ BQ 8805 CENDRE</v>
      </c>
      <c r="G83" s="11" t="s">
        <v>283</v>
      </c>
      <c r="H83" s="8" t="s">
        <v>329</v>
      </c>
      <c r="I83" s="12" t="s">
        <v>18</v>
      </c>
      <c r="J83" s="11" t="s">
        <v>285</v>
      </c>
      <c r="K83" s="11" t="s">
        <v>140</v>
      </c>
      <c r="L83" s="10" t="str">
        <f t="shared" si="4"/>
        <v>AAQU017</v>
      </c>
      <c r="M83" s="13">
        <f t="shared" si="5"/>
        <v>24</v>
      </c>
    </row>
    <row r="84" spans="1:13">
      <c r="A84" s="7">
        <v>83</v>
      </c>
      <c r="B84" s="8" t="s">
        <v>330</v>
      </c>
      <c r="C84" s="9" t="s">
        <v>13</v>
      </c>
      <c r="D84" s="10" t="s">
        <v>281</v>
      </c>
      <c r="E84" s="8" t="s">
        <v>331</v>
      </c>
      <c r="F84" s="8" t="str">
        <f t="shared" si="3"/>
        <v>ĐÁ QUARTZ AV022 ARISTON</v>
      </c>
      <c r="G84" s="11" t="s">
        <v>283</v>
      </c>
      <c r="H84" s="8" t="s">
        <v>332</v>
      </c>
      <c r="I84" s="12" t="s">
        <v>18</v>
      </c>
      <c r="J84" s="11" t="s">
        <v>285</v>
      </c>
      <c r="K84" s="11" t="s">
        <v>43</v>
      </c>
      <c r="L84" s="10" t="str">
        <f t="shared" si="4"/>
        <v>AAQU010</v>
      </c>
      <c r="M84" s="13">
        <f t="shared" si="5"/>
        <v>23</v>
      </c>
    </row>
    <row r="85" spans="1:13">
      <c r="A85" s="7">
        <v>84</v>
      </c>
      <c r="B85" s="8" t="s">
        <v>333</v>
      </c>
      <c r="C85" s="9" t="s">
        <v>13</v>
      </c>
      <c r="D85" s="10" t="s">
        <v>281</v>
      </c>
      <c r="E85" s="8" t="s">
        <v>334</v>
      </c>
      <c r="F85" s="8" t="str">
        <f t="shared" si="3"/>
        <v>ĐÁ QUARTZ BQ2605 DENALI</v>
      </c>
      <c r="G85" s="11" t="s">
        <v>283</v>
      </c>
      <c r="H85" s="8" t="s">
        <v>335</v>
      </c>
      <c r="I85" s="12" t="s">
        <v>18</v>
      </c>
      <c r="J85" s="11" t="s">
        <v>285</v>
      </c>
      <c r="K85" s="11" t="s">
        <v>170</v>
      </c>
      <c r="L85" s="10" t="str">
        <f t="shared" si="4"/>
        <v>AAQU012</v>
      </c>
      <c r="M85" s="13">
        <f t="shared" si="5"/>
        <v>23</v>
      </c>
    </row>
    <row r="86" spans="1:13">
      <c r="A86" s="7">
        <v>85</v>
      </c>
      <c r="B86" s="8" t="s">
        <v>336</v>
      </c>
      <c r="C86" s="9" t="s">
        <v>13</v>
      </c>
      <c r="D86" s="10" t="s">
        <v>281</v>
      </c>
      <c r="E86" s="8" t="s">
        <v>337</v>
      </c>
      <c r="F86" s="8" t="str">
        <f t="shared" si="3"/>
        <v>ĐÁ QUARTZ C1026 POLAR</v>
      </c>
      <c r="G86" s="11" t="s">
        <v>283</v>
      </c>
      <c r="H86" s="8" t="s">
        <v>338</v>
      </c>
      <c r="I86" s="12" t="s">
        <v>18</v>
      </c>
      <c r="J86" s="11" t="s">
        <v>285</v>
      </c>
      <c r="K86" s="11" t="s">
        <v>39</v>
      </c>
      <c r="L86" s="10" t="str">
        <f t="shared" si="4"/>
        <v>AAQU006</v>
      </c>
      <c r="M86" s="13">
        <f t="shared" si="5"/>
        <v>21</v>
      </c>
    </row>
    <row r="87" spans="1:13">
      <c r="A87" s="7">
        <v>86</v>
      </c>
      <c r="B87" s="8" t="s">
        <v>339</v>
      </c>
      <c r="C87" s="9" t="s">
        <v>13</v>
      </c>
      <c r="D87" s="10" t="s">
        <v>281</v>
      </c>
      <c r="E87" s="8" t="s">
        <v>340</v>
      </c>
      <c r="F87" s="8" t="str">
        <f t="shared" si="3"/>
        <v>ĐÁ QUARTZ RSN4003</v>
      </c>
      <c r="G87" s="11" t="s">
        <v>283</v>
      </c>
      <c r="H87" s="8" t="s">
        <v>341</v>
      </c>
      <c r="I87" s="12" t="s">
        <v>18</v>
      </c>
      <c r="J87" s="11" t="s">
        <v>285</v>
      </c>
      <c r="K87" s="11" t="s">
        <v>198</v>
      </c>
      <c r="L87" s="10" t="str">
        <f t="shared" si="4"/>
        <v>AAQU024</v>
      </c>
      <c r="M87" s="13">
        <f t="shared" si="5"/>
        <v>17</v>
      </c>
    </row>
    <row r="88" spans="1:13">
      <c r="A88" s="7">
        <v>87</v>
      </c>
      <c r="B88" s="8" t="s">
        <v>342</v>
      </c>
      <c r="C88" s="9" t="s">
        <v>13</v>
      </c>
      <c r="D88" s="10" t="s">
        <v>281</v>
      </c>
      <c r="E88" s="8" t="s">
        <v>343</v>
      </c>
      <c r="F88" s="8" t="str">
        <f t="shared" si="3"/>
        <v>ĐÁ QUARTZ RSV3230</v>
      </c>
      <c r="G88" s="11" t="s">
        <v>283</v>
      </c>
      <c r="H88" s="8" t="s">
        <v>344</v>
      </c>
      <c r="I88" s="12" t="s">
        <v>18</v>
      </c>
      <c r="J88" s="11" t="s">
        <v>285</v>
      </c>
      <c r="K88" s="11" t="s">
        <v>85</v>
      </c>
      <c r="L88" s="10" t="str">
        <f t="shared" si="4"/>
        <v>AAQU028</v>
      </c>
      <c r="M88" s="13">
        <f t="shared" si="5"/>
        <v>17</v>
      </c>
    </row>
    <row r="89" spans="1:13">
      <c r="A89" s="7">
        <v>88</v>
      </c>
      <c r="B89" s="8" t="s">
        <v>345</v>
      </c>
      <c r="C89" s="9" t="s">
        <v>13</v>
      </c>
      <c r="D89" s="10" t="s">
        <v>281</v>
      </c>
      <c r="E89" s="8" t="s">
        <v>346</v>
      </c>
      <c r="F89" s="8" t="str">
        <f t="shared" si="3"/>
        <v>ĐÁ QUARTZ RC4072</v>
      </c>
      <c r="G89" s="11" t="s">
        <v>283</v>
      </c>
      <c r="H89" s="8" t="s">
        <v>347</v>
      </c>
      <c r="I89" s="12" t="s">
        <v>18</v>
      </c>
      <c r="J89" s="11" t="s">
        <v>285</v>
      </c>
      <c r="K89" s="11" t="s">
        <v>34</v>
      </c>
      <c r="L89" s="10" t="str">
        <f t="shared" si="4"/>
        <v>AAQU009</v>
      </c>
      <c r="M89" s="13">
        <f t="shared" si="5"/>
        <v>16</v>
      </c>
    </row>
    <row r="90" spans="1:13">
      <c r="A90" s="7">
        <v>89</v>
      </c>
      <c r="B90" s="8" t="s">
        <v>348</v>
      </c>
      <c r="C90" s="9" t="s">
        <v>13</v>
      </c>
      <c r="D90" s="10" t="s">
        <v>281</v>
      </c>
      <c r="E90" s="8" t="s">
        <v>349</v>
      </c>
      <c r="F90" s="8" t="str">
        <f t="shared" si="3"/>
        <v>ĐÁ QUARTZ BQ2607</v>
      </c>
      <c r="G90" s="11" t="s">
        <v>283</v>
      </c>
      <c r="H90" s="8" t="s">
        <v>350</v>
      </c>
      <c r="I90" s="12" t="s">
        <v>18</v>
      </c>
      <c r="J90" s="11" t="s">
        <v>285</v>
      </c>
      <c r="K90" s="11" t="s">
        <v>174</v>
      </c>
      <c r="L90" s="10" t="str">
        <f t="shared" si="4"/>
        <v>AAQU013</v>
      </c>
      <c r="M90" s="13">
        <f t="shared" si="5"/>
        <v>16</v>
      </c>
    </row>
    <row r="91" spans="1:13">
      <c r="A91" s="7">
        <v>90</v>
      </c>
      <c r="B91" s="8" t="s">
        <v>351</v>
      </c>
      <c r="C91" s="9" t="s">
        <v>13</v>
      </c>
      <c r="D91" s="10" t="s">
        <v>281</v>
      </c>
      <c r="E91" s="8" t="s">
        <v>352</v>
      </c>
      <c r="F91" s="8" t="str">
        <f t="shared" si="3"/>
        <v>ĐÁ QUARTZ NDVC29</v>
      </c>
      <c r="G91" s="11" t="s">
        <v>283</v>
      </c>
      <c r="H91" s="8" t="s">
        <v>353</v>
      </c>
      <c r="I91" s="12" t="s">
        <v>18</v>
      </c>
      <c r="J91" s="11" t="s">
        <v>285</v>
      </c>
      <c r="K91" s="11" t="s">
        <v>206</v>
      </c>
      <c r="L91" s="10" t="str">
        <f t="shared" si="4"/>
        <v>AAQU027</v>
      </c>
      <c r="M91" s="13">
        <f t="shared" si="5"/>
        <v>16</v>
      </c>
    </row>
    <row r="92" spans="1:13">
      <c r="A92" s="7">
        <v>91</v>
      </c>
      <c r="B92" s="8" t="s">
        <v>354</v>
      </c>
      <c r="C92" s="9" t="s">
        <v>13</v>
      </c>
      <c r="D92" s="10" t="s">
        <v>281</v>
      </c>
      <c r="E92" s="8" t="s">
        <v>355</v>
      </c>
      <c r="F92" s="8" t="str">
        <f t="shared" si="3"/>
        <v>ĐÁ QUARTZ QS401</v>
      </c>
      <c r="G92" s="11" t="s">
        <v>283</v>
      </c>
      <c r="H92" s="8" t="s">
        <v>356</v>
      </c>
      <c r="I92" s="12" t="s">
        <v>18</v>
      </c>
      <c r="J92" s="11" t="s">
        <v>285</v>
      </c>
      <c r="K92" s="11" t="s">
        <v>54</v>
      </c>
      <c r="L92" s="10" t="str">
        <f t="shared" si="4"/>
        <v>AAQU008</v>
      </c>
      <c r="M92" s="13">
        <f t="shared" si="5"/>
        <v>15</v>
      </c>
    </row>
    <row r="93" spans="1:13">
      <c r="A93" s="7">
        <v>92</v>
      </c>
      <c r="B93" s="8" t="s">
        <v>357</v>
      </c>
      <c r="C93" s="9" t="s">
        <v>13</v>
      </c>
      <c r="D93" s="10" t="s">
        <v>281</v>
      </c>
      <c r="E93" s="8" t="s">
        <v>358</v>
      </c>
      <c r="F93" s="8" t="str">
        <f t="shared" si="3"/>
        <v>ĐÁ QUARTZ QS504</v>
      </c>
      <c r="G93" s="11" t="s">
        <v>283</v>
      </c>
      <c r="H93" s="8" t="s">
        <v>359</v>
      </c>
      <c r="I93" s="12" t="s">
        <v>18</v>
      </c>
      <c r="J93" s="11" t="s">
        <v>285</v>
      </c>
      <c r="K93" s="11" t="s">
        <v>182</v>
      </c>
      <c r="L93" s="10" t="str">
        <f t="shared" si="4"/>
        <v>AAQU015</v>
      </c>
      <c r="M93" s="13">
        <f t="shared" si="5"/>
        <v>15</v>
      </c>
    </row>
    <row r="94" spans="1:13">
      <c r="A94" s="7">
        <v>93</v>
      </c>
      <c r="B94" s="8" t="s">
        <v>360</v>
      </c>
      <c r="C94" s="9" t="s">
        <v>13</v>
      </c>
      <c r="D94" s="10" t="s">
        <v>281</v>
      </c>
      <c r="E94" s="8" t="s">
        <v>361</v>
      </c>
      <c r="F94" s="8" t="str">
        <f t="shared" si="3"/>
        <v>ĐÁ QUARTZ QS530</v>
      </c>
      <c r="G94" s="11" t="s">
        <v>283</v>
      </c>
      <c r="H94" s="8" t="s">
        <v>362</v>
      </c>
      <c r="I94" s="12" t="s">
        <v>18</v>
      </c>
      <c r="J94" s="11" t="s">
        <v>285</v>
      </c>
      <c r="K94" s="11" t="s">
        <v>186</v>
      </c>
      <c r="L94" s="10" t="str">
        <f t="shared" si="4"/>
        <v>AAQU025</v>
      </c>
      <c r="M94" s="13">
        <f t="shared" si="5"/>
        <v>15</v>
      </c>
    </row>
    <row r="95" spans="1:13" ht="15.75" thickBot="1">
      <c r="A95" s="15">
        <v>94</v>
      </c>
      <c r="B95" s="16" t="s">
        <v>363</v>
      </c>
      <c r="C95" s="17" t="s">
        <v>13</v>
      </c>
      <c r="D95" s="18" t="s">
        <v>281</v>
      </c>
      <c r="E95" s="16" t="s">
        <v>364</v>
      </c>
      <c r="F95" s="16" t="str">
        <f t="shared" si="3"/>
        <v>ĐÁ QUARTZ AW01</v>
      </c>
      <c r="G95" s="11" t="s">
        <v>283</v>
      </c>
      <c r="H95" s="16" t="s">
        <v>365</v>
      </c>
      <c r="I95" s="19" t="s">
        <v>18</v>
      </c>
      <c r="J95" s="20" t="s">
        <v>285</v>
      </c>
      <c r="K95" s="20" t="s">
        <v>144</v>
      </c>
      <c r="L95" s="18" t="str">
        <f t="shared" si="4"/>
        <v>AAQU018</v>
      </c>
      <c r="M95" s="21">
        <f t="shared" si="5"/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Huy Binh</dc:creator>
  <cp:lastModifiedBy>Nguyen Huy Binh</cp:lastModifiedBy>
  <dcterms:created xsi:type="dcterms:W3CDTF">2015-06-05T18:17:20Z</dcterms:created>
  <dcterms:modified xsi:type="dcterms:W3CDTF">2026-01-22T10:28:30Z</dcterms:modified>
</cp:coreProperties>
</file>