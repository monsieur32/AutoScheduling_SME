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2ngu\Desktop\AutoScheduling_SME-main\AutoScheduling_SME-main\data\"/>
    </mc:Choice>
  </mc:AlternateContent>
  <xr:revisionPtr revIDLastSave="0" documentId="13_ncr:1_{1E5643C4-789F-4C8B-9E33-F1A70AD1099C}" xr6:coauthVersionLast="47" xr6:coauthVersionMax="47" xr10:uidLastSave="{00000000-0000-0000-0000-000000000000}"/>
  <bookViews>
    <workbookView xWindow="-120" yWindow="-120" windowWidth="29040" windowHeight="15720" tabRatio="800" activeTab="3" xr2:uid="{00000000-000D-0000-FFFF-FFFF00000000}"/>
  </bookViews>
  <sheets>
    <sheet name="LOẠI ĐÁ" sheetId="23" r:id="rId1"/>
    <sheet name="NĂNG SUẤT" sheetId="22" r:id="rId2"/>
    <sheet name="MASTER PLAN" sheetId="11" r:id="rId3"/>
    <sheet name="BUILD APPSHEET" sheetId="18" r:id="rId4"/>
    <sheet name="QUY TRÌNH" sheetId="16" r:id="rId5"/>
    <sheet name="LIST MÁY " sheetId="2" r:id="rId6"/>
    <sheet name="CÔNG NĂNG MÁY" sheetId="17" r:id="rId7"/>
    <sheet name="DAO CỤ CẮT GỌT" sheetId="14" r:id="rId8"/>
    <sheet name="ĐỊNH BIÊN CCDC" sheetId="13" r:id="rId9"/>
    <sheet name="CHI PHÍ CẢI TIẾN" sheetId="12" r:id="rId10"/>
    <sheet name="KẾ HOẠCH SẢN XUẤT" sheetId="10" r:id="rId11"/>
  </sheets>
  <externalReferences>
    <externalReference r:id="rId12"/>
  </externalReferences>
  <definedNames>
    <definedName name="_1__Danh_mục_đơn_vị" localSheetId="0">#REF!</definedName>
    <definedName name="_1__Danh_mục_đơn_vị" localSheetId="1">#REF!</definedName>
    <definedName name="_1__Danh_mục_đơn_vị">#REF!</definedName>
    <definedName name="_10__Danh_mục_mã_thuế_suất_bán_hàng" localSheetId="0">#REF!</definedName>
    <definedName name="_10__Danh_mục_mã_thuế_suất_bán_hàng" localSheetId="1">#REF!</definedName>
    <definedName name="_10__Danh_mục_mã_thuế_suất_bán_hàng">#REF!</definedName>
    <definedName name="_11__Danh_mục_Item_Category_Group" localSheetId="0">#REF!</definedName>
    <definedName name="_11__Danh_mục_Item_Category_Group" localSheetId="1">#REF!</definedName>
    <definedName name="_11__Danh_mục_Item_Category_Group">#REF!</definedName>
    <definedName name="_12__Danh_mục_Nguồn_mua">#REF!</definedName>
    <definedName name="_13__Danh_mục_Thuế_suất_mua_hàng">#REF!</definedName>
    <definedName name="_14__Danh_mục_Nhóm_phân_quyền_QM">#REF!</definedName>
    <definedName name="_14_cấp_độc_lập">#REF!</definedName>
    <definedName name="_15__Danh_mục_MRP_profile">#REF!</definedName>
    <definedName name="_16__Danh_mục_Profit_center">#REF!</definedName>
    <definedName name="_17__Danh_mục_Origin">#REF!</definedName>
    <definedName name="_18__Danh_mục_Bộ_phận_cung_cấp_thông_tin">#REF!</definedName>
    <definedName name="_19__Danh_mục_Đơn_vị_tính">#REF!</definedName>
    <definedName name="_2__Danh_mục_nhóm_mua_hàng">#REF!</definedName>
    <definedName name="_20__Danh_mục_Tài_khoản_hạch_toán_tự_động___Valuation_class">#REF!</definedName>
    <definedName name="_21__Danh_mục_Price_Control_Indicator___Price_Determination">#REF!</definedName>
    <definedName name="_22__Danh_mục_Valuation_type">#REF!</definedName>
    <definedName name="_23__Danh_mục_Material_group_2___Code_thương_hiệu">#REF!</definedName>
    <definedName name="_24__Danh_mục_Material_group_3___Code_thương_hiệu_mẹ">#REF!</definedName>
    <definedName name="_3__Danh_mục_tổ_chức_bán_hàng">#REF!</definedName>
    <definedName name="_4__Danh_mục_kênh_phân_phối">#REF!</definedName>
    <definedName name="_5__Danh_mục_Nội_địa_Xuất_khẩu___Material_group_5">#REF!</definedName>
    <definedName name="_6__Danh_mục_Loạt_vật_tư___Material_type">#REF!</definedName>
    <definedName name="_7__Danh_mục_ngành_hàng">#REF!</definedName>
    <definedName name="_8__Danh_mục_Material_group_1">#REF!</definedName>
    <definedName name="_9__Danh_mục_nhóm_quy_định_tài_khoản_doanh_thu__Account_assignment_group">#REF!</definedName>
    <definedName name="_xlnm._FilterDatabase" localSheetId="5" hidden="1">'LIST MÁY '!$A$2:$E$20</definedName>
    <definedName name="_xlnm._FilterDatabase" localSheetId="0" hidden="1">'LOẠI ĐÁ'!$B$1:$M$95</definedName>
    <definedName name="_xlnm._FilterDatabase" localSheetId="1" hidden="1">'NĂNG SUẤT'!$A$2:$N$59</definedName>
    <definedName name="A" localSheetId="0">#REF!</definedName>
    <definedName name="A" localSheetId="1">#REF!</definedName>
    <definedName name="A">#REF!</definedName>
    <definedName name="AAA" localSheetId="0">#REF!</definedName>
    <definedName name="AAA" localSheetId="1">#REF!</definedName>
    <definedName name="AAA">#REF!</definedName>
    <definedName name="AAG">#REF!</definedName>
    <definedName name="ABC">#REF!</definedName>
    <definedName name="ACCOUNTGROUP">#REF!</definedName>
    <definedName name="Actual" localSheetId="6">(PeriodInActual*('[1]Project Planner'!$E1&gt;0))*PeriodInPlan</definedName>
    <definedName name="Actual" localSheetId="7">(PeriodInActual*('[1]Project Planner'!$E1&gt;0))*PeriodInPlan</definedName>
    <definedName name="Actual" localSheetId="8">(PeriodInActual*('[1]Project Planner'!$E1&gt;0))*PeriodInPlan</definedName>
    <definedName name="Actual" localSheetId="10">('KẾ HOẠCH SẢN XUẤT'!PeriodInActual*('KẾ HOẠCH SẢN XUẤT'!$H1&gt;0))*'KẾ HOẠCH SẢN XUẤT'!PeriodInPlan</definedName>
    <definedName name="Actual" localSheetId="0">(PeriodInActual*('[1]Project Planner'!$E1&gt;0))*PeriodInPlan</definedName>
    <definedName name="Actual" localSheetId="1">(PeriodInActual*('[1]Project Planner'!$E1&gt;0))*PeriodInPlan</definedName>
    <definedName name="Actual" localSheetId="4">(PeriodInActual*('[1]Project Planner'!$E1&gt;0))*PeriodInPlan</definedName>
    <definedName name="Actual">(PeriodInActual*('[1]Project Planner'!$E1&gt;0))*PeriodInPlan</definedName>
    <definedName name="ActualBeyond" localSheetId="6">PeriodInActual*('[1]Project Planner'!$E1&gt;0)</definedName>
    <definedName name="ActualBeyond" localSheetId="7">PeriodInActual*('[1]Project Planner'!$E1&gt;0)</definedName>
    <definedName name="ActualBeyond" localSheetId="8">PeriodInActual*('[1]Project Planner'!$E1&gt;0)</definedName>
    <definedName name="ActualBeyond" localSheetId="10">'KẾ HOẠCH SẢN XUẤT'!PeriodInActual*('KẾ HOẠCH SẢN XUẤT'!$H1&gt;0)</definedName>
    <definedName name="ActualBeyond" localSheetId="0">PeriodInActual*('[1]Project Planner'!$E1&gt;0)</definedName>
    <definedName name="ActualBeyond" localSheetId="1">PeriodInActual*('[1]Project Planner'!$E1&gt;0)</definedName>
    <definedName name="ActualBeyond" localSheetId="4">PeriodInActual*('[1]Project Planner'!$E1&gt;0)</definedName>
    <definedName name="ActualBeyond">PeriodInActual*('[1]Project Planner'!$E1&gt;0)</definedName>
    <definedName name="AG" localSheetId="0">#REF!</definedName>
    <definedName name="AG" localSheetId="1">#REF!</definedName>
    <definedName name="AG">#REF!</definedName>
    <definedName name="AUM" localSheetId="0">#REF!</definedName>
    <definedName name="AUM" localSheetId="1">#REF!</definedName>
    <definedName name="AUM">#REF!</definedName>
    <definedName name="BankKey" localSheetId="0">#REF!</definedName>
    <definedName name="BankKey" localSheetId="1">#REF!</definedName>
    <definedName name="BankKey">#REF!</definedName>
    <definedName name="Batch_management">#REF!</definedName>
    <definedName name="BK">#REF!</definedName>
    <definedName name="bkk">#REF!</definedName>
    <definedName name="BSX">#REF!</definedName>
    <definedName name="CASHMANAGEMENTGROUP">#REF!</definedName>
    <definedName name="CG">#REF!</definedName>
    <definedName name="CHAR">#REF!</definedName>
    <definedName name="Characteristic">#REF!</definedName>
    <definedName name="ClassID">#REF!</definedName>
    <definedName name="CLS">#REF!</definedName>
    <definedName name="CMG">#REF!</definedName>
    <definedName name="CMgg">#REF!</definedName>
    <definedName name="COA_mpc">#REF!</definedName>
    <definedName name="Codedata">#REF!</definedName>
    <definedName name="ConditionClasss">#REF!</definedName>
    <definedName name="ConditionType">#REF!</definedName>
    <definedName name="ContractType">#REF!</definedName>
    <definedName name="Country">#REF!</definedName>
    <definedName name="CusG">#REF!</definedName>
    <definedName name="CUSTOMERGROUP">#REF!</definedName>
    <definedName name="dis">#REF!</definedName>
    <definedName name="DISTRIBUTIONCHANNEL">#REF!</definedName>
    <definedName name="div">#REF!</definedName>
    <definedName name="DIVISION">#REF!</definedName>
    <definedName name="dloai">#REF!</definedName>
    <definedName name="dloajii">#REF!</definedName>
    <definedName name="DV">#REF!</definedName>
    <definedName name="EMPLOYEESUBGROUP">#REF!</definedName>
    <definedName name="External_Material_Group">#REF!</definedName>
    <definedName name="GBB">#REF!</definedName>
    <definedName name="PercentComplete" localSheetId="6">PercentCompleteBeyond*PeriodInPlan</definedName>
    <definedName name="PercentComplete" localSheetId="7">PercentCompleteBeyond*PeriodInPlan</definedName>
    <definedName name="PercentComplete" localSheetId="8">PercentCompleteBeyond*PeriodInPlan</definedName>
    <definedName name="PercentComplete" localSheetId="10">'KẾ HOẠCH SẢN XUẤT'!PercentCompleteBeyond*'KẾ HOẠCH SẢN XUẤT'!PeriodInPlan</definedName>
    <definedName name="PercentComplete" localSheetId="0">PercentCompleteBeyond*PeriodInPlan</definedName>
    <definedName name="PercentComplete" localSheetId="1">PercentCompleteBeyond*PeriodInPlan</definedName>
    <definedName name="PercentComplete" localSheetId="4">PercentCompleteBeyond*PeriodInPlan</definedName>
    <definedName name="PercentComplete">PercentCompleteBeyond*PeriodInPlan</definedName>
    <definedName name="PercentCompleteBeyond" localSheetId="10">('KẾ HOẠCH SẢN XUẤT'!#REF!=MEDIAN('KẾ HOẠCH SẢN XUẤT'!#REF!,'KẾ HOẠCH SẢN XUẤT'!$H1,'KẾ HOẠCH SẢN XUẤT'!$H1+'KẾ HOẠCH SẢN XUẤT'!$I1)*('KẾ HOẠCH SẢN XUẤT'!$H1&gt;0))*(('KẾ HOẠCH SẢN XUẤT'!#REF!&lt;(INT('KẾ HOẠCH SẢN XUẤT'!$H1+'KẾ HOẠCH SẢN XUẤT'!$I1*'KẾ HOẠCH SẢN XUẤT'!$M1)))+('KẾ HOẠCH SẢN XUẤT'!#REF!='KẾ HOẠCH SẢN XUẤT'!$H1))*('KẾ HOẠCH SẢN XUẤT'!$M1&gt;0)</definedName>
    <definedName name="PercentCompleteBeyond">('[1]Project Planner'!A$4=MEDIAN('[1]Project Planner'!A$4,'[1]Project Planner'!$E1,'[1]Project Planner'!$E1+'[1]Project Planner'!$F1)*('[1]Project Planner'!$E1&gt;0))*(('[1]Project Planner'!A$4&lt;(INT('[1]Project Planner'!$E1+'[1]Project Planner'!$F1*'[1]Project Planner'!$G1)))+('[1]Project Planner'!A$4='[1]Project Planner'!$E1))*('[1]Project Planner'!$G1&gt;0)</definedName>
    <definedName name="period_selected" localSheetId="10">'KẾ HOẠCH SẢN XUẤT'!$N$2</definedName>
    <definedName name="period_selected">'[1]Project Planner'!$H$2</definedName>
    <definedName name="PeriodInActual" localSheetId="10">'KẾ HOẠCH SẢN XUẤT'!#REF!=MEDIAN('KẾ HOẠCH SẢN XUẤT'!#REF!,'KẾ HOẠCH SẢN XUẤT'!$H1,'KẾ HOẠCH SẢN XUẤT'!$H1+'KẾ HOẠCH SẢN XUẤT'!$I1-1)</definedName>
    <definedName name="PeriodInActual">'[1]Project Planner'!A$4=MEDIAN('[1]Project Planner'!A$4,'[1]Project Planner'!$E1,'[1]Project Planner'!$E1+'[1]Project Planner'!$F1-1)</definedName>
    <definedName name="PeriodInPlan" localSheetId="10">'KẾ HOẠCH SẢN XUẤT'!#REF!=MEDIAN('KẾ HOẠCH SẢN XUẤT'!#REF!,'KẾ HOẠCH SẢN XUẤT'!$E1,'KẾ HOẠCH SẢN XUẤT'!$E1+'KẾ HOẠCH SẢN XUẤT'!$F1-1)</definedName>
    <definedName name="PeriodInPlan">'[1]Project Planner'!A$4=MEDIAN('[1]Project Planner'!A$4,'[1]Project Planner'!$C1,'[1]Project Planner'!$C1+'[1]Project Planner'!$D1-1)</definedName>
    <definedName name="Plan" localSheetId="6">PeriodInPlan*('[1]Project Planner'!$C1&gt;0)</definedName>
    <definedName name="Plan" localSheetId="7">PeriodInPlan*('[1]Project Planner'!$C1&gt;0)</definedName>
    <definedName name="Plan" localSheetId="8">PeriodInPlan*('[1]Project Planner'!$C1&gt;0)</definedName>
    <definedName name="Plan" localSheetId="10">'KẾ HOẠCH SẢN XUẤT'!PeriodInPlan*('KẾ HOẠCH SẢN XUẤT'!$E1&gt;0)</definedName>
    <definedName name="Plan" localSheetId="0">PeriodInPlan*('[1]Project Planner'!$C1&gt;0)</definedName>
    <definedName name="Plan" localSheetId="1">PeriodInPlan*('[1]Project Planner'!$C1&gt;0)</definedName>
    <definedName name="Plan" localSheetId="4">PeriodInPlan*('[1]Project Planner'!$C1&gt;0)</definedName>
    <definedName name="Plan">PeriodInPlan*('[1]Project Planner'!$C1&gt;0)</definedName>
    <definedName name="_xlnm.Print_Titles" localSheetId="10">'KẾ HOẠCH SẢN XUẤT'!$3:$3</definedName>
    <definedName name="_xlnm.Print_Titles" localSheetId="5">'LIST MÁY '!$2:$2</definedName>
    <definedName name="TitleRegion..BO60" localSheetId="10">'KẾ HOẠCH SẢN XUẤT'!$C$3:$C$3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0" i="10" l="1"/>
  <c r="O200" i="10" s="1"/>
  <c r="K200" i="10"/>
  <c r="G200" i="10"/>
  <c r="M199" i="10"/>
  <c r="O199" i="10" s="1"/>
  <c r="K199" i="10"/>
  <c r="G199" i="10"/>
  <c r="M198" i="10"/>
  <c r="O198" i="10" s="1"/>
  <c r="K198" i="10"/>
  <c r="G198" i="10"/>
  <c r="M197" i="10"/>
  <c r="O197" i="10" s="1"/>
  <c r="K197" i="10"/>
  <c r="G197" i="10"/>
  <c r="M196" i="10"/>
  <c r="O196" i="10" s="1"/>
  <c r="K196" i="10"/>
  <c r="G196" i="10"/>
  <c r="M195" i="10"/>
  <c r="O195" i="10" s="1"/>
  <c r="K195" i="10"/>
  <c r="G195" i="10"/>
  <c r="M194" i="10"/>
  <c r="O194" i="10" s="1"/>
  <c r="K194" i="10"/>
  <c r="G194" i="10"/>
  <c r="M193" i="10"/>
  <c r="O193" i="10" s="1"/>
  <c r="K193" i="10"/>
  <c r="G193" i="10"/>
  <c r="M192" i="10"/>
  <c r="O192" i="10" s="1"/>
  <c r="K192" i="10"/>
  <c r="G192" i="10"/>
  <c r="M191" i="10"/>
  <c r="O191" i="10" s="1"/>
  <c r="K191" i="10"/>
  <c r="G191" i="10"/>
  <c r="M190" i="10"/>
  <c r="O190" i="10" s="1"/>
  <c r="K190" i="10"/>
  <c r="G190" i="10"/>
  <c r="M189" i="10"/>
  <c r="O189" i="10" s="1"/>
  <c r="K189" i="10"/>
  <c r="G189" i="10"/>
  <c r="M188" i="10"/>
  <c r="O188" i="10" s="1"/>
  <c r="K188" i="10"/>
  <c r="G188" i="10"/>
  <c r="M187" i="10"/>
  <c r="O187" i="10" s="1"/>
  <c r="K187" i="10"/>
  <c r="G187" i="10"/>
  <c r="M186" i="10"/>
  <c r="O186" i="10" s="1"/>
  <c r="K186" i="10"/>
  <c r="G186" i="10"/>
  <c r="M185" i="10"/>
  <c r="O185" i="10" s="1"/>
  <c r="K185" i="10"/>
  <c r="G185" i="10"/>
  <c r="M184" i="10"/>
  <c r="O184" i="10" s="1"/>
  <c r="K184" i="10"/>
  <c r="G184" i="10"/>
  <c r="M183" i="10"/>
  <c r="O183" i="10" s="1"/>
  <c r="K183" i="10"/>
  <c r="G183" i="10"/>
  <c r="M182" i="10"/>
  <c r="O182" i="10" s="1"/>
  <c r="K182" i="10"/>
  <c r="G182" i="10"/>
  <c r="M181" i="10"/>
  <c r="O181" i="10" s="1"/>
  <c r="K181" i="10"/>
  <c r="G181" i="10"/>
  <c r="M180" i="10"/>
  <c r="O180" i="10" s="1"/>
  <c r="K180" i="10"/>
  <c r="G180" i="10"/>
  <c r="M179" i="10"/>
  <c r="O179" i="10" s="1"/>
  <c r="K179" i="10"/>
  <c r="G179" i="10"/>
  <c r="M178" i="10"/>
  <c r="O178" i="10" s="1"/>
  <c r="K178" i="10"/>
  <c r="G178" i="10"/>
  <c r="M177" i="10"/>
  <c r="O177" i="10" s="1"/>
  <c r="K177" i="10"/>
  <c r="G177" i="10"/>
  <c r="M176" i="10"/>
  <c r="O176" i="10" s="1"/>
  <c r="K176" i="10"/>
  <c r="G176" i="10"/>
  <c r="M175" i="10"/>
  <c r="O175" i="10" s="1"/>
  <c r="K175" i="10"/>
  <c r="G175" i="10"/>
  <c r="M174" i="10"/>
  <c r="O174" i="10" s="1"/>
  <c r="K174" i="10"/>
  <c r="G174" i="10"/>
  <c r="M173" i="10"/>
  <c r="O173" i="10" s="1"/>
  <c r="K173" i="10"/>
  <c r="G173" i="10"/>
  <c r="M172" i="10"/>
  <c r="O172" i="10" s="1"/>
  <c r="K172" i="10"/>
  <c r="G172" i="10"/>
  <c r="M171" i="10"/>
  <c r="O171" i="10" s="1"/>
  <c r="K171" i="10"/>
  <c r="G171" i="10"/>
  <c r="M170" i="10"/>
  <c r="O170" i="10" s="1"/>
  <c r="K170" i="10"/>
  <c r="G170" i="10"/>
  <c r="M169" i="10"/>
  <c r="O169" i="10" s="1"/>
  <c r="K169" i="10"/>
  <c r="G169" i="10"/>
  <c r="M168" i="10"/>
  <c r="O168" i="10" s="1"/>
  <c r="K168" i="10"/>
  <c r="G168" i="10"/>
  <c r="M167" i="10"/>
  <c r="O167" i="10" s="1"/>
  <c r="K167" i="10"/>
  <c r="G167" i="10"/>
  <c r="M166" i="10"/>
  <c r="O166" i="10" s="1"/>
  <c r="K166" i="10"/>
  <c r="G166" i="10"/>
  <c r="M165" i="10"/>
  <c r="O165" i="10" s="1"/>
  <c r="K165" i="10"/>
  <c r="G165" i="10"/>
  <c r="M164" i="10"/>
  <c r="O164" i="10" s="1"/>
  <c r="K164" i="10"/>
  <c r="G164" i="10"/>
  <c r="M163" i="10"/>
  <c r="O163" i="10" s="1"/>
  <c r="K163" i="10"/>
  <c r="G163" i="10"/>
  <c r="M162" i="10"/>
  <c r="O162" i="10" s="1"/>
  <c r="K162" i="10"/>
  <c r="G162" i="10"/>
  <c r="M161" i="10"/>
  <c r="O161" i="10" s="1"/>
  <c r="K161" i="10"/>
  <c r="G161" i="10"/>
  <c r="M160" i="10"/>
  <c r="O160" i="10" s="1"/>
  <c r="K160" i="10"/>
  <c r="G160" i="10"/>
  <c r="M159" i="10"/>
  <c r="O159" i="10" s="1"/>
  <c r="K159" i="10"/>
  <c r="G159" i="10"/>
  <c r="M158" i="10"/>
  <c r="O158" i="10" s="1"/>
  <c r="K158" i="10"/>
  <c r="G158" i="10"/>
  <c r="M157" i="10"/>
  <c r="O157" i="10" s="1"/>
  <c r="K157" i="10"/>
  <c r="G157" i="10"/>
  <c r="M156" i="10"/>
  <c r="O156" i="10" s="1"/>
  <c r="K156" i="10"/>
  <c r="G156" i="10"/>
  <c r="M155" i="10"/>
  <c r="O155" i="10" s="1"/>
  <c r="K155" i="10"/>
  <c r="G155" i="10"/>
  <c r="M154" i="10"/>
  <c r="O154" i="10" s="1"/>
  <c r="K154" i="10"/>
  <c r="G154" i="10"/>
  <c r="M153" i="10"/>
  <c r="O153" i="10" s="1"/>
  <c r="K153" i="10"/>
  <c r="G153" i="10"/>
  <c r="M152" i="10"/>
  <c r="O152" i="10" s="1"/>
  <c r="K152" i="10"/>
  <c r="G152" i="10"/>
  <c r="M151" i="10"/>
  <c r="O151" i="10" s="1"/>
  <c r="K151" i="10"/>
  <c r="G151" i="10"/>
  <c r="M150" i="10"/>
  <c r="O150" i="10" s="1"/>
  <c r="K150" i="10"/>
  <c r="G150" i="10"/>
  <c r="M149" i="10"/>
  <c r="O149" i="10" s="1"/>
  <c r="K149" i="10"/>
  <c r="G149" i="10"/>
  <c r="M148" i="10"/>
  <c r="O148" i="10" s="1"/>
  <c r="K148" i="10"/>
  <c r="G148" i="10"/>
  <c r="M147" i="10"/>
  <c r="O147" i="10" s="1"/>
  <c r="K147" i="10"/>
  <c r="G147" i="10"/>
  <c r="M146" i="10"/>
  <c r="O146" i="10" s="1"/>
  <c r="K146" i="10"/>
  <c r="G146" i="10"/>
  <c r="M145" i="10"/>
  <c r="O145" i="10" s="1"/>
  <c r="K145" i="10"/>
  <c r="G145" i="10"/>
  <c r="M144" i="10"/>
  <c r="O144" i="10" s="1"/>
  <c r="K144" i="10"/>
  <c r="G144" i="10"/>
  <c r="M143" i="10"/>
  <c r="O143" i="10" s="1"/>
  <c r="K143" i="10"/>
  <c r="G143" i="10"/>
  <c r="M142" i="10"/>
  <c r="O142" i="10" s="1"/>
  <c r="K142" i="10"/>
  <c r="G142" i="10"/>
  <c r="M141" i="10"/>
  <c r="O141" i="10" s="1"/>
  <c r="K141" i="10"/>
  <c r="G141" i="10"/>
  <c r="M140" i="10"/>
  <c r="O140" i="10" s="1"/>
  <c r="K140" i="10"/>
  <c r="G140" i="10"/>
  <c r="M139" i="10"/>
  <c r="O139" i="10" s="1"/>
  <c r="K139" i="10"/>
  <c r="G139" i="10"/>
  <c r="M138" i="10"/>
  <c r="O138" i="10" s="1"/>
  <c r="K138" i="10"/>
  <c r="G138" i="10"/>
  <c r="M137" i="10"/>
  <c r="O137" i="10" s="1"/>
  <c r="K137" i="10"/>
  <c r="G137" i="10"/>
  <c r="M136" i="10"/>
  <c r="O136" i="10" s="1"/>
  <c r="K136" i="10"/>
  <c r="G136" i="10"/>
  <c r="M135" i="10"/>
  <c r="O135" i="10" s="1"/>
  <c r="K135" i="10"/>
  <c r="G135" i="10"/>
  <c r="M134" i="10"/>
  <c r="O134" i="10" s="1"/>
  <c r="K134" i="10"/>
  <c r="G134" i="10"/>
  <c r="M133" i="10"/>
  <c r="O133" i="10" s="1"/>
  <c r="K133" i="10"/>
  <c r="G133" i="10"/>
  <c r="M132" i="10"/>
  <c r="O132" i="10" s="1"/>
  <c r="K132" i="10"/>
  <c r="G132" i="10"/>
  <c r="M131" i="10"/>
  <c r="O131" i="10" s="1"/>
  <c r="K131" i="10"/>
  <c r="G131" i="10"/>
  <c r="M130" i="10"/>
  <c r="O130" i="10" s="1"/>
  <c r="K130" i="10"/>
  <c r="G130" i="10"/>
  <c r="M129" i="10"/>
  <c r="O129" i="10" s="1"/>
  <c r="K129" i="10"/>
  <c r="G129" i="10"/>
  <c r="M128" i="10"/>
  <c r="O128" i="10" s="1"/>
  <c r="K128" i="10"/>
  <c r="G128" i="10"/>
  <c r="M127" i="10"/>
  <c r="O127" i="10" s="1"/>
  <c r="K127" i="10"/>
  <c r="G127" i="10"/>
  <c r="M126" i="10"/>
  <c r="O126" i="10" s="1"/>
  <c r="K126" i="10"/>
  <c r="G126" i="10"/>
  <c r="M125" i="10"/>
  <c r="O125" i="10" s="1"/>
  <c r="K125" i="10"/>
  <c r="G125" i="10"/>
  <c r="M124" i="10"/>
  <c r="O124" i="10" s="1"/>
  <c r="K124" i="10"/>
  <c r="G124" i="10"/>
  <c r="M123" i="10"/>
  <c r="O123" i="10" s="1"/>
  <c r="K123" i="10"/>
  <c r="G123" i="10"/>
  <c r="M122" i="10"/>
  <c r="O122" i="10" s="1"/>
  <c r="K122" i="10"/>
  <c r="G122" i="10"/>
  <c r="M121" i="10"/>
  <c r="O121" i="10" s="1"/>
  <c r="K121" i="10"/>
  <c r="G121" i="10"/>
  <c r="M120" i="10"/>
  <c r="O120" i="10" s="1"/>
  <c r="K120" i="10"/>
  <c r="G120" i="10"/>
  <c r="M119" i="10"/>
  <c r="O119" i="10" s="1"/>
  <c r="K119" i="10"/>
  <c r="G119" i="10"/>
  <c r="M118" i="10"/>
  <c r="O118" i="10" s="1"/>
  <c r="K118" i="10"/>
  <c r="G118" i="10"/>
  <c r="M117" i="10"/>
  <c r="O117" i="10" s="1"/>
  <c r="K117" i="10"/>
  <c r="G117" i="10"/>
  <c r="M116" i="10"/>
  <c r="O116" i="10" s="1"/>
  <c r="K116" i="10"/>
  <c r="G116" i="10"/>
  <c r="M115" i="10"/>
  <c r="O115" i="10" s="1"/>
  <c r="K115" i="10"/>
  <c r="G115" i="10"/>
  <c r="M114" i="10"/>
  <c r="O114" i="10" s="1"/>
  <c r="K114" i="10"/>
  <c r="G114" i="10"/>
  <c r="M113" i="10"/>
  <c r="O113" i="10" s="1"/>
  <c r="K113" i="10"/>
  <c r="G113" i="10"/>
  <c r="M112" i="10"/>
  <c r="O112" i="10" s="1"/>
  <c r="K112" i="10"/>
  <c r="G112" i="10"/>
  <c r="M111" i="10"/>
  <c r="O111" i="10" s="1"/>
  <c r="K111" i="10"/>
  <c r="G111" i="10"/>
  <c r="M110" i="10"/>
  <c r="O110" i="10" s="1"/>
  <c r="K110" i="10"/>
  <c r="G110" i="10"/>
  <c r="M109" i="10"/>
  <c r="O109" i="10" s="1"/>
  <c r="K109" i="10"/>
  <c r="G109" i="10"/>
  <c r="M108" i="10"/>
  <c r="O108" i="10" s="1"/>
  <c r="K108" i="10"/>
  <c r="G108" i="10"/>
  <c r="M107" i="10"/>
  <c r="O107" i="10" s="1"/>
  <c r="K107" i="10"/>
  <c r="G107" i="10"/>
  <c r="M106" i="10"/>
  <c r="O106" i="10" s="1"/>
  <c r="K106" i="10"/>
  <c r="G106" i="10"/>
  <c r="M105" i="10"/>
  <c r="O105" i="10" s="1"/>
  <c r="K105" i="10"/>
  <c r="G105" i="10"/>
  <c r="M104" i="10"/>
  <c r="O104" i="10" s="1"/>
  <c r="K104" i="10"/>
  <c r="G104" i="10"/>
  <c r="M103" i="10"/>
  <c r="O103" i="10" s="1"/>
  <c r="K103" i="10"/>
  <c r="G103" i="10"/>
  <c r="M102" i="10"/>
  <c r="O102" i="10" s="1"/>
  <c r="K102" i="10"/>
  <c r="G102" i="10"/>
  <c r="M101" i="10"/>
  <c r="O101" i="10" s="1"/>
  <c r="K101" i="10"/>
  <c r="G101" i="10"/>
  <c r="M100" i="10"/>
  <c r="O100" i="10" s="1"/>
  <c r="K100" i="10"/>
  <c r="G100" i="10"/>
  <c r="M99" i="10"/>
  <c r="O99" i="10" s="1"/>
  <c r="K99" i="10"/>
  <c r="G99" i="10"/>
  <c r="M98" i="10"/>
  <c r="O98" i="10" s="1"/>
  <c r="K98" i="10"/>
  <c r="G98" i="10"/>
  <c r="M97" i="10"/>
  <c r="O97" i="10" s="1"/>
  <c r="K97" i="10"/>
  <c r="G97" i="10"/>
  <c r="M96" i="10"/>
  <c r="O96" i="10" s="1"/>
  <c r="K96" i="10"/>
  <c r="G96" i="10"/>
  <c r="M95" i="10"/>
  <c r="O95" i="10" s="1"/>
  <c r="K95" i="10"/>
  <c r="G95" i="10"/>
  <c r="M94" i="10"/>
  <c r="O94" i="10" s="1"/>
  <c r="K94" i="10"/>
  <c r="G94" i="10"/>
  <c r="M93" i="10"/>
  <c r="O93" i="10" s="1"/>
  <c r="K93" i="10"/>
  <c r="G93" i="10"/>
  <c r="M92" i="10"/>
  <c r="O92" i="10" s="1"/>
  <c r="K92" i="10"/>
  <c r="G92" i="10"/>
  <c r="M91" i="10"/>
  <c r="O91" i="10" s="1"/>
  <c r="K91" i="10"/>
  <c r="G91" i="10"/>
  <c r="M90" i="10"/>
  <c r="O90" i="10" s="1"/>
  <c r="K90" i="10"/>
  <c r="G90" i="10"/>
  <c r="M89" i="10"/>
  <c r="O89" i="10" s="1"/>
  <c r="K89" i="10"/>
  <c r="G89" i="10"/>
  <c r="M88" i="10"/>
  <c r="O88" i="10" s="1"/>
  <c r="K88" i="10"/>
  <c r="G88" i="10"/>
  <c r="M87" i="10"/>
  <c r="O87" i="10" s="1"/>
  <c r="K87" i="10"/>
  <c r="G87" i="10"/>
  <c r="M86" i="10"/>
  <c r="O86" i="10" s="1"/>
  <c r="K86" i="10"/>
  <c r="G86" i="10"/>
  <c r="M85" i="10"/>
  <c r="O85" i="10" s="1"/>
  <c r="K85" i="10"/>
  <c r="G85" i="10"/>
  <c r="M84" i="10"/>
  <c r="O84" i="10" s="1"/>
  <c r="K84" i="10"/>
  <c r="G84" i="10"/>
  <c r="M83" i="10"/>
  <c r="O83" i="10" s="1"/>
  <c r="K83" i="10"/>
  <c r="G83" i="10"/>
  <c r="M82" i="10"/>
  <c r="O82" i="10" s="1"/>
  <c r="K82" i="10"/>
  <c r="G82" i="10"/>
  <c r="M81" i="10"/>
  <c r="O81" i="10" s="1"/>
  <c r="K81" i="10"/>
  <c r="G81" i="10"/>
  <c r="M80" i="10"/>
  <c r="O80" i="10" s="1"/>
  <c r="K80" i="10"/>
  <c r="G80" i="10"/>
  <c r="M79" i="10"/>
  <c r="O79" i="10" s="1"/>
  <c r="K79" i="10"/>
  <c r="G79" i="10"/>
  <c r="M78" i="10"/>
  <c r="O78" i="10" s="1"/>
  <c r="K78" i="10"/>
  <c r="G78" i="10"/>
  <c r="M77" i="10"/>
  <c r="O77" i="10" s="1"/>
  <c r="K77" i="10"/>
  <c r="G77" i="10"/>
  <c r="M76" i="10"/>
  <c r="O76" i="10" s="1"/>
  <c r="K76" i="10"/>
  <c r="G76" i="10"/>
  <c r="M75" i="10"/>
  <c r="O75" i="10" s="1"/>
  <c r="K75" i="10"/>
  <c r="G75" i="10"/>
  <c r="M74" i="10"/>
  <c r="O74" i="10" s="1"/>
  <c r="K74" i="10"/>
  <c r="G74" i="10"/>
  <c r="M73" i="10"/>
  <c r="O73" i="10" s="1"/>
  <c r="K73" i="10"/>
  <c r="G73" i="10"/>
  <c r="M72" i="10"/>
  <c r="O72" i="10" s="1"/>
  <c r="K72" i="10"/>
  <c r="G72" i="10"/>
  <c r="M71" i="10"/>
  <c r="O71" i="10" s="1"/>
  <c r="K71" i="10"/>
  <c r="G71" i="10"/>
  <c r="M70" i="10"/>
  <c r="O70" i="10" s="1"/>
  <c r="K70" i="10"/>
  <c r="G70" i="10"/>
  <c r="M69" i="10"/>
  <c r="O69" i="10" s="1"/>
  <c r="K69" i="10"/>
  <c r="G69" i="10"/>
  <c r="M68" i="10"/>
  <c r="O68" i="10" s="1"/>
  <c r="K68" i="10"/>
  <c r="G68" i="10"/>
  <c r="M67" i="10"/>
  <c r="O67" i="10" s="1"/>
  <c r="K67" i="10"/>
  <c r="G67" i="10"/>
  <c r="M66" i="10"/>
  <c r="O66" i="10" s="1"/>
  <c r="K66" i="10"/>
  <c r="G66" i="10"/>
  <c r="M65" i="10"/>
  <c r="O65" i="10" s="1"/>
  <c r="K65" i="10"/>
  <c r="G65" i="10"/>
  <c r="M64" i="10"/>
  <c r="O64" i="10" s="1"/>
  <c r="K64" i="10"/>
  <c r="G64" i="10"/>
  <c r="M63" i="10"/>
  <c r="O63" i="10" s="1"/>
  <c r="K63" i="10"/>
  <c r="G63" i="10"/>
  <c r="M62" i="10"/>
  <c r="O62" i="10" s="1"/>
  <c r="K62" i="10"/>
  <c r="G62" i="10"/>
  <c r="M61" i="10"/>
  <c r="O61" i="10" s="1"/>
  <c r="K61" i="10"/>
  <c r="G61" i="10"/>
  <c r="M60" i="10"/>
  <c r="O60" i="10" s="1"/>
  <c r="K60" i="10"/>
  <c r="G60" i="10"/>
  <c r="M59" i="10"/>
  <c r="O59" i="10" s="1"/>
  <c r="K59" i="10"/>
  <c r="G59" i="10"/>
  <c r="M58" i="10"/>
  <c r="O58" i="10" s="1"/>
  <c r="K58" i="10"/>
  <c r="G58" i="10"/>
  <c r="M57" i="10"/>
  <c r="O57" i="10" s="1"/>
  <c r="K57" i="10"/>
  <c r="G57" i="10"/>
  <c r="M56" i="10"/>
  <c r="O56" i="10" s="1"/>
  <c r="K56" i="10"/>
  <c r="G56" i="10"/>
  <c r="M55" i="10"/>
  <c r="O55" i="10" s="1"/>
  <c r="K55" i="10"/>
  <c r="G55" i="10"/>
  <c r="M54" i="10"/>
  <c r="O54" i="10" s="1"/>
  <c r="K54" i="10"/>
  <c r="G54" i="10"/>
  <c r="M53" i="10"/>
  <c r="O53" i="10" s="1"/>
  <c r="K53" i="10"/>
  <c r="G53" i="10"/>
  <c r="M52" i="10"/>
  <c r="O52" i="10" s="1"/>
  <c r="K52" i="10"/>
  <c r="G52" i="10"/>
  <c r="M51" i="10"/>
  <c r="O51" i="10" s="1"/>
  <c r="K51" i="10"/>
  <c r="G51" i="10"/>
  <c r="M50" i="10"/>
  <c r="O50" i="10" s="1"/>
  <c r="K50" i="10"/>
  <c r="G50" i="10"/>
  <c r="M49" i="10"/>
  <c r="O49" i="10" s="1"/>
  <c r="K49" i="10"/>
  <c r="G49" i="10"/>
  <c r="M48" i="10"/>
  <c r="O48" i="10" s="1"/>
  <c r="K48" i="10"/>
  <c r="G48" i="10"/>
  <c r="M47" i="10"/>
  <c r="O47" i="10" s="1"/>
  <c r="K47" i="10"/>
  <c r="G47" i="10"/>
  <c r="M46" i="10"/>
  <c r="O46" i="10" s="1"/>
  <c r="K46" i="10"/>
  <c r="G46" i="10"/>
  <c r="M45" i="10"/>
  <c r="O45" i="10" s="1"/>
  <c r="K45" i="10"/>
  <c r="G45" i="10"/>
  <c r="M44" i="10"/>
  <c r="O44" i="10" s="1"/>
  <c r="K44" i="10"/>
  <c r="G44" i="10"/>
  <c r="M43" i="10"/>
  <c r="O43" i="10" s="1"/>
  <c r="K43" i="10"/>
  <c r="G43" i="10"/>
  <c r="M42" i="10"/>
  <c r="O42" i="10" s="1"/>
  <c r="K42" i="10"/>
  <c r="G42" i="10"/>
  <c r="M41" i="10"/>
  <c r="O41" i="10" s="1"/>
  <c r="K41" i="10"/>
  <c r="G41" i="10"/>
  <c r="M40" i="10"/>
  <c r="O40" i="10" s="1"/>
  <c r="K40" i="10"/>
  <c r="G40" i="10"/>
  <c r="M39" i="10"/>
  <c r="O39" i="10" s="1"/>
  <c r="K39" i="10"/>
  <c r="G39" i="10"/>
  <c r="M38" i="10"/>
  <c r="O38" i="10" s="1"/>
  <c r="K38" i="10"/>
  <c r="G38" i="10"/>
  <c r="M37" i="10"/>
  <c r="O37" i="10" s="1"/>
  <c r="K37" i="10"/>
  <c r="G37" i="10"/>
  <c r="M36" i="10"/>
  <c r="O36" i="10" s="1"/>
  <c r="K36" i="10"/>
  <c r="G36" i="10"/>
  <c r="M35" i="10"/>
  <c r="O35" i="10" s="1"/>
  <c r="K35" i="10"/>
  <c r="G35" i="10"/>
  <c r="M34" i="10"/>
  <c r="O34" i="10" s="1"/>
  <c r="K34" i="10"/>
  <c r="G34" i="10"/>
  <c r="M33" i="10"/>
  <c r="O33" i="10" s="1"/>
  <c r="K33" i="10"/>
  <c r="G33" i="10"/>
  <c r="M32" i="10"/>
  <c r="O32" i="10" s="1"/>
  <c r="K32" i="10"/>
  <c r="G32" i="10"/>
  <c r="M31" i="10"/>
  <c r="O31" i="10" s="1"/>
  <c r="K31" i="10"/>
  <c r="G31" i="10"/>
  <c r="M30" i="10"/>
  <c r="O30" i="10" s="1"/>
  <c r="K30" i="10"/>
  <c r="G30" i="10"/>
  <c r="M29" i="10"/>
  <c r="O29" i="10" s="1"/>
  <c r="K29" i="10"/>
  <c r="G29" i="10"/>
  <c r="M28" i="10"/>
  <c r="O28" i="10" s="1"/>
  <c r="K28" i="10"/>
  <c r="G28" i="10"/>
  <c r="M27" i="10"/>
  <c r="O27" i="10" s="1"/>
  <c r="K27" i="10"/>
  <c r="G27" i="10"/>
  <c r="M26" i="10"/>
  <c r="O26" i="10" s="1"/>
  <c r="K26" i="10"/>
  <c r="G26" i="10"/>
  <c r="M25" i="10"/>
  <c r="O25" i="10" s="1"/>
  <c r="K25" i="10"/>
  <c r="G25" i="10"/>
  <c r="M24" i="10"/>
  <c r="O24" i="10" s="1"/>
  <c r="K24" i="10"/>
  <c r="G24" i="10"/>
  <c r="M23" i="10"/>
  <c r="O23" i="10" s="1"/>
  <c r="K23" i="10"/>
  <c r="G23" i="10"/>
  <c r="M22" i="10"/>
  <c r="O22" i="10" s="1"/>
  <c r="K22" i="10"/>
  <c r="G22" i="10"/>
  <c r="M21" i="10"/>
  <c r="O21" i="10" s="1"/>
  <c r="K21" i="10"/>
  <c r="G21" i="10"/>
  <c r="M20" i="10"/>
  <c r="O20" i="10" s="1"/>
  <c r="K20" i="10"/>
  <c r="G20" i="10"/>
  <c r="M19" i="10"/>
  <c r="O19" i="10" s="1"/>
  <c r="K19" i="10"/>
  <c r="G19" i="10"/>
  <c r="M18" i="10"/>
  <c r="O18" i="10" s="1"/>
  <c r="K18" i="10"/>
  <c r="G18" i="10"/>
  <c r="M17" i="10"/>
  <c r="O17" i="10" s="1"/>
  <c r="K17" i="10"/>
  <c r="G17" i="10"/>
  <c r="M16" i="10"/>
  <c r="O16" i="10" s="1"/>
  <c r="K16" i="10"/>
  <c r="G16" i="10"/>
  <c r="M15" i="10"/>
  <c r="O15" i="10" s="1"/>
  <c r="K15" i="10"/>
  <c r="G15" i="10"/>
  <c r="M14" i="10"/>
  <c r="O14" i="10" s="1"/>
  <c r="K14" i="10"/>
  <c r="G14" i="10"/>
  <c r="M13" i="10"/>
  <c r="O13" i="10" s="1"/>
  <c r="K13" i="10"/>
  <c r="G13" i="10"/>
  <c r="M12" i="10"/>
  <c r="O12" i="10" s="1"/>
  <c r="K12" i="10"/>
  <c r="G12" i="10"/>
  <c r="M11" i="10"/>
  <c r="O11" i="10" s="1"/>
  <c r="K11" i="10"/>
  <c r="G11" i="10"/>
  <c r="M10" i="10"/>
  <c r="O10" i="10" s="1"/>
  <c r="K10" i="10"/>
  <c r="G10" i="10"/>
  <c r="M9" i="10"/>
  <c r="O9" i="10" s="1"/>
  <c r="K9" i="10"/>
  <c r="G9" i="10"/>
  <c r="M8" i="10"/>
  <c r="O8" i="10" s="1"/>
  <c r="K8" i="10"/>
  <c r="G8" i="10"/>
  <c r="M7" i="10"/>
  <c r="O7" i="10" s="1"/>
  <c r="K7" i="10"/>
  <c r="G7" i="10"/>
  <c r="M6" i="10"/>
  <c r="O6" i="10" s="1"/>
  <c r="K6" i="10"/>
  <c r="G6" i="10"/>
  <c r="M5" i="10"/>
  <c r="O5" i="10" s="1"/>
  <c r="K5" i="10"/>
  <c r="G5" i="10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M4" i="10"/>
  <c r="O4" i="10" s="1"/>
  <c r="K4" i="10"/>
  <c r="C26" i="12"/>
  <c r="C25" i="12"/>
  <c r="B22" i="12"/>
  <c r="C16" i="12"/>
  <c r="C20" i="11"/>
  <c r="I19" i="11"/>
  <c r="H19" i="11"/>
  <c r="C19" i="11"/>
  <c r="C18" i="11"/>
  <c r="I17" i="11"/>
  <c r="H17" i="11"/>
  <c r="C17" i="11"/>
  <c r="C16" i="11"/>
  <c r="I15" i="11"/>
  <c r="H15" i="11"/>
  <c r="C15" i="11"/>
  <c r="C14" i="11"/>
  <c r="M11" i="11"/>
  <c r="L11" i="11"/>
  <c r="I11" i="11"/>
  <c r="H11" i="11"/>
  <c r="C11" i="11"/>
  <c r="M10" i="11"/>
  <c r="L10" i="11"/>
  <c r="I10" i="11"/>
  <c r="H10" i="11"/>
  <c r="C10" i="11"/>
  <c r="M9" i="11"/>
  <c r="L9" i="11"/>
  <c r="I9" i="11"/>
  <c r="H9" i="11"/>
  <c r="C9" i="11"/>
  <c r="M8" i="11"/>
  <c r="L8" i="11"/>
  <c r="I8" i="11"/>
  <c r="H8" i="11"/>
  <c r="C8" i="11"/>
  <c r="M7" i="11"/>
  <c r="L7" i="11"/>
  <c r="I7" i="11"/>
  <c r="H7" i="11"/>
  <c r="M6" i="11"/>
  <c r="L6" i="11"/>
  <c r="I6" i="11"/>
  <c r="H6" i="11"/>
  <c r="C6" i="11"/>
  <c r="M5" i="11"/>
  <c r="L5" i="11"/>
  <c r="I5" i="11"/>
  <c r="H5" i="11"/>
  <c r="M4" i="11"/>
  <c r="L4" i="11"/>
  <c r="I4" i="11"/>
  <c r="H4" i="11"/>
  <c r="L2" i="11"/>
  <c r="H2" i="11"/>
  <c r="L95" i="23"/>
  <c r="F95" i="23"/>
  <c r="M95" i="23" s="1"/>
  <c r="L94" i="23"/>
  <c r="F94" i="23"/>
  <c r="M94" i="23" s="1"/>
  <c r="L93" i="23"/>
  <c r="F93" i="23"/>
  <c r="M93" i="23" s="1"/>
  <c r="L92" i="23"/>
  <c r="F92" i="23"/>
  <c r="M92" i="23" s="1"/>
  <c r="L91" i="23"/>
  <c r="F91" i="23"/>
  <c r="M91" i="23" s="1"/>
  <c r="L90" i="23"/>
  <c r="F90" i="23"/>
  <c r="M90" i="23" s="1"/>
  <c r="L89" i="23"/>
  <c r="F89" i="23"/>
  <c r="M89" i="23" s="1"/>
  <c r="L88" i="23"/>
  <c r="F88" i="23"/>
  <c r="M88" i="23" s="1"/>
  <c r="L87" i="23"/>
  <c r="F87" i="23"/>
  <c r="M87" i="23" s="1"/>
  <c r="L86" i="23"/>
  <c r="F86" i="23"/>
  <c r="M86" i="23" s="1"/>
  <c r="L85" i="23"/>
  <c r="F85" i="23"/>
  <c r="M85" i="23" s="1"/>
  <c r="L84" i="23"/>
  <c r="F84" i="23"/>
  <c r="M84" i="23" s="1"/>
  <c r="L83" i="23"/>
  <c r="F83" i="23"/>
  <c r="M83" i="23" s="1"/>
  <c r="L82" i="23"/>
  <c r="F82" i="23"/>
  <c r="M82" i="23" s="1"/>
  <c r="L81" i="23"/>
  <c r="F81" i="23"/>
  <c r="M81" i="23" s="1"/>
  <c r="L80" i="23"/>
  <c r="F80" i="23"/>
  <c r="M80" i="23" s="1"/>
  <c r="L79" i="23"/>
  <c r="F79" i="23"/>
  <c r="M79" i="23" s="1"/>
  <c r="L78" i="23"/>
  <c r="F78" i="23"/>
  <c r="M78" i="23" s="1"/>
  <c r="L77" i="23"/>
  <c r="F77" i="23"/>
  <c r="M77" i="23" s="1"/>
  <c r="L76" i="23"/>
  <c r="F76" i="23"/>
  <c r="M76" i="23" s="1"/>
  <c r="L75" i="23"/>
  <c r="F75" i="23"/>
  <c r="M75" i="23" s="1"/>
  <c r="L74" i="23"/>
  <c r="F74" i="23"/>
  <c r="M74" i="23" s="1"/>
  <c r="L73" i="23"/>
  <c r="F73" i="23"/>
  <c r="M73" i="23" s="1"/>
  <c r="L72" i="23"/>
  <c r="F72" i="23"/>
  <c r="M72" i="23" s="1"/>
  <c r="L71" i="23"/>
  <c r="F71" i="23"/>
  <c r="M71" i="23" s="1"/>
  <c r="L70" i="23"/>
  <c r="F70" i="23"/>
  <c r="M70" i="23" s="1"/>
  <c r="L69" i="23"/>
  <c r="F69" i="23"/>
  <c r="M69" i="23" s="1"/>
  <c r="L68" i="23"/>
  <c r="F68" i="23"/>
  <c r="M68" i="23" s="1"/>
  <c r="L67" i="23"/>
  <c r="F67" i="23"/>
  <c r="M67" i="23" s="1"/>
  <c r="L66" i="23"/>
  <c r="F66" i="23"/>
  <c r="M66" i="23" s="1"/>
  <c r="L65" i="23"/>
  <c r="F65" i="23"/>
  <c r="M65" i="23" s="1"/>
  <c r="L64" i="23"/>
  <c r="F64" i="23"/>
  <c r="M64" i="23" s="1"/>
  <c r="L63" i="23"/>
  <c r="F63" i="23"/>
  <c r="M63" i="23" s="1"/>
  <c r="L62" i="23"/>
  <c r="F62" i="23"/>
  <c r="M62" i="23" s="1"/>
  <c r="L61" i="23"/>
  <c r="F61" i="23"/>
  <c r="M61" i="23" s="1"/>
  <c r="L60" i="23"/>
  <c r="F60" i="23"/>
  <c r="M60" i="23" s="1"/>
  <c r="L59" i="23"/>
  <c r="F59" i="23"/>
  <c r="M59" i="23" s="1"/>
  <c r="L58" i="23"/>
  <c r="F58" i="23"/>
  <c r="M58" i="23" s="1"/>
  <c r="L57" i="23"/>
  <c r="F57" i="23"/>
  <c r="M57" i="23" s="1"/>
  <c r="L56" i="23"/>
  <c r="F56" i="23"/>
  <c r="M56" i="23" s="1"/>
  <c r="L55" i="23"/>
  <c r="F55" i="23"/>
  <c r="M55" i="23" s="1"/>
  <c r="L54" i="23"/>
  <c r="F54" i="23"/>
  <c r="M54" i="23" s="1"/>
  <c r="L53" i="23"/>
  <c r="F53" i="23"/>
  <c r="M53" i="23" s="1"/>
  <c r="L52" i="23"/>
  <c r="F52" i="23"/>
  <c r="M52" i="23" s="1"/>
  <c r="L51" i="23"/>
  <c r="F51" i="23"/>
  <c r="M51" i="23" s="1"/>
  <c r="L50" i="23"/>
  <c r="F50" i="23"/>
  <c r="M50" i="23" s="1"/>
  <c r="L49" i="23"/>
  <c r="F49" i="23"/>
  <c r="M49" i="23" s="1"/>
  <c r="L48" i="23"/>
  <c r="F48" i="23"/>
  <c r="M48" i="23" s="1"/>
  <c r="L47" i="23"/>
  <c r="F47" i="23"/>
  <c r="M47" i="23" s="1"/>
  <c r="L46" i="23"/>
  <c r="F46" i="23"/>
  <c r="M46" i="23" s="1"/>
  <c r="L45" i="23"/>
  <c r="F45" i="23"/>
  <c r="M45" i="23" s="1"/>
  <c r="L44" i="23"/>
  <c r="F44" i="23"/>
  <c r="M44" i="23" s="1"/>
  <c r="L43" i="23"/>
  <c r="F43" i="23"/>
  <c r="M43" i="23" s="1"/>
  <c r="L42" i="23"/>
  <c r="F42" i="23"/>
  <c r="M42" i="23" s="1"/>
  <c r="L41" i="23"/>
  <c r="F41" i="23"/>
  <c r="M41" i="23" s="1"/>
  <c r="L40" i="23"/>
  <c r="F40" i="23"/>
  <c r="M40" i="23" s="1"/>
  <c r="L39" i="23"/>
  <c r="F39" i="23"/>
  <c r="M39" i="23" s="1"/>
  <c r="L38" i="23"/>
  <c r="F38" i="23"/>
  <c r="M38" i="23" s="1"/>
  <c r="L37" i="23"/>
  <c r="F37" i="23"/>
  <c r="M37" i="23" s="1"/>
  <c r="L36" i="23"/>
  <c r="F36" i="23"/>
  <c r="M36" i="23" s="1"/>
  <c r="L35" i="23"/>
  <c r="F35" i="23"/>
  <c r="M35" i="23" s="1"/>
  <c r="L34" i="23"/>
  <c r="F34" i="23"/>
  <c r="M34" i="23" s="1"/>
  <c r="L33" i="23"/>
  <c r="F33" i="23"/>
  <c r="M33" i="23" s="1"/>
  <c r="L32" i="23"/>
  <c r="F32" i="23"/>
  <c r="M32" i="23" s="1"/>
  <c r="L31" i="23"/>
  <c r="F31" i="23"/>
  <c r="M31" i="23" s="1"/>
  <c r="L30" i="23"/>
  <c r="F30" i="23"/>
  <c r="M30" i="23" s="1"/>
  <c r="L29" i="23"/>
  <c r="F29" i="23"/>
  <c r="M29" i="23" s="1"/>
  <c r="L28" i="23"/>
  <c r="F28" i="23"/>
  <c r="M28" i="23" s="1"/>
  <c r="L27" i="23"/>
  <c r="F27" i="23"/>
  <c r="M27" i="23" s="1"/>
  <c r="L26" i="23"/>
  <c r="F26" i="23"/>
  <c r="M26" i="23" s="1"/>
  <c r="L25" i="23"/>
  <c r="F25" i="23"/>
  <c r="M25" i="23" s="1"/>
  <c r="L24" i="23"/>
  <c r="F24" i="23"/>
  <c r="M24" i="23" s="1"/>
  <c r="L23" i="23"/>
  <c r="F23" i="23"/>
  <c r="M23" i="23" s="1"/>
  <c r="L22" i="23"/>
  <c r="F22" i="23"/>
  <c r="M22" i="23" s="1"/>
  <c r="L21" i="23"/>
  <c r="F21" i="23"/>
  <c r="M21" i="23" s="1"/>
  <c r="L20" i="23"/>
  <c r="F20" i="23"/>
  <c r="M20" i="23" s="1"/>
  <c r="L19" i="23"/>
  <c r="F19" i="23"/>
  <c r="M19" i="23" s="1"/>
  <c r="L18" i="23"/>
  <c r="F18" i="23"/>
  <c r="M18" i="23" s="1"/>
  <c r="L17" i="23"/>
  <c r="F17" i="23"/>
  <c r="M17" i="23" s="1"/>
  <c r="L16" i="23"/>
  <c r="F16" i="23"/>
  <c r="M16" i="23" s="1"/>
  <c r="L15" i="23"/>
  <c r="F15" i="23"/>
  <c r="M15" i="23" s="1"/>
  <c r="L14" i="23"/>
  <c r="F14" i="23"/>
  <c r="M14" i="23" s="1"/>
  <c r="L13" i="23"/>
  <c r="F13" i="23"/>
  <c r="M13" i="23" s="1"/>
  <c r="L12" i="23"/>
  <c r="F12" i="23"/>
  <c r="M12" i="23" s="1"/>
  <c r="L11" i="23"/>
  <c r="F11" i="23"/>
  <c r="M11" i="23" s="1"/>
  <c r="L10" i="23"/>
  <c r="F10" i="23"/>
  <c r="M10" i="23" s="1"/>
  <c r="L9" i="23"/>
  <c r="F9" i="23"/>
  <c r="M9" i="23" s="1"/>
  <c r="L8" i="23"/>
  <c r="F8" i="23"/>
  <c r="M8" i="23" s="1"/>
  <c r="L7" i="23"/>
  <c r="F7" i="23"/>
  <c r="M7" i="23" s="1"/>
  <c r="L6" i="23"/>
  <c r="F6" i="23"/>
  <c r="M6" i="23" s="1"/>
  <c r="L5" i="23"/>
  <c r="F5" i="23"/>
  <c r="M5" i="23" s="1"/>
  <c r="L4" i="23"/>
  <c r="F4" i="23"/>
  <c r="M4" i="23" s="1"/>
  <c r="L3" i="23"/>
  <c r="F3" i="23"/>
  <c r="M3" i="23" s="1"/>
  <c r="L2" i="23"/>
  <c r="F2" i="23"/>
  <c r="M2" i="23" s="1"/>
  <c r="G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BAO DE</author>
  </authors>
  <commentList>
    <comment ref="A4" authorId="0" shapeId="0" xr:uid="{00000000-0006-0000-0300-000001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Hệ thống tự sinh ra số thứ tự khi khởi tạo ban đầu
</t>
        </r>
      </text>
    </comment>
    <comment ref="B4" authorId="0" shapeId="0" xr:uid="{00000000-0006-0000-0300-000002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Hệ thống tự khởi tạo ID lệnh cho mỗi hoạt động trên hệ thống nhằm mục đích truy xuất về sau</t>
        </r>
      </text>
    </comment>
    <comment ref="C4" authorId="0" shapeId="0" xr:uid="{00000000-0006-0000-0300-000003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Mã nhà máy của chi tiết thực hiện gia công</t>
        </r>
      </text>
    </comment>
    <comment ref="G4" authorId="0" shapeId="0" xr:uid="{00000000-0006-0000-0300-000004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Tên chi tiết thực hiện cụ thể theo phiếu thực hiện sản phẩm</t>
        </r>
      </text>
    </comment>
    <comment ref="K4" authorId="0" shapeId="0" xr:uid="{00000000-0006-0000-0300-000005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Các loại đá theo yêu cầu, nếu không có sẵn thì chọn loại tương đương</t>
        </r>
      </text>
    </comment>
    <comment ref="M4" authorId="0" shapeId="0" xr:uid="{00000000-0006-0000-0300-000006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khích thước phủ bì Dài x Rộng</t>
        </r>
      </text>
    </comment>
    <comment ref="N4" authorId="0" shapeId="0" xr:uid="{00000000-0006-0000-0300-000007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số lượng cho mỗi kích thước cần gia công</t>
        </r>
      </text>
    </comment>
    <comment ref="O4" authorId="0" shapeId="0" xr:uid="{00000000-0006-0000-0300-000008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Nhập số lượng chiều dài cắt thực tế (Mục này nhằm tính toán định mức vật tư hao mòn)</t>
        </r>
      </text>
    </comment>
    <comment ref="P4" authorId="0" shapeId="0" xr:uid="{00000000-0006-0000-0300-000009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mã quy trình thực hiện các chi tiết cần gia công</t>
        </r>
      </text>
    </comment>
    <comment ref="Q4" authorId="0" shapeId="0" xr:uid="{00000000-0006-0000-0300-00000A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cut to size</t>
        </r>
      </text>
    </comment>
    <comment ref="R4" authorId="0" shapeId="0" xr:uid="{00000000-0006-0000-0300-00000B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S4" authorId="0" shapeId="0" xr:uid="{00000000-0006-0000-0300-00000C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vát 45</t>
        </r>
      </text>
    </comment>
    <comment ref="T4" authorId="0" shapeId="0" xr:uid="{00000000-0006-0000-0300-00000D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U4" authorId="0" shapeId="0" xr:uid="{00000000-0006-0000-0300-00000E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Chọn các máy thực hiện công đoạn CMS</t>
        </r>
      </text>
    </comment>
    <comment ref="V4" authorId="0" shapeId="0" xr:uid="{00000000-0006-0000-0300-00000F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Dựa vào thông tin dữ liệu được cấp ban đầu hệ thống tính toán số giờ cần chạy máy để hoàn thành khối lượng yêu cầu</t>
        </r>
      </text>
    </comment>
    <comment ref="W4" authorId="0" shapeId="0" xr:uid="{00000000-0006-0000-0300-000010000000}">
      <text>
        <r>
          <rPr>
            <b/>
            <sz val="9"/>
            <rFont val="Tahoma"/>
            <charset val="134"/>
          </rPr>
          <t>BAO DE:</t>
        </r>
        <r>
          <rPr>
            <sz val="9"/>
            <rFont val="Tahoma"/>
            <charset val="134"/>
          </rPr>
          <t xml:space="preserve">
Tổng thời gian của cột B2+B4+B6 </t>
        </r>
      </text>
    </comment>
  </commentList>
</comments>
</file>

<file path=xl/sharedStrings.xml><?xml version="1.0" encoding="utf-8"?>
<sst xmlns="http://schemas.openxmlformats.org/spreadsheetml/2006/main" count="2334" uniqueCount="927">
  <si>
    <t>STT</t>
  </si>
  <si>
    <t>Material Number/ Mã vật tư</t>
  </si>
  <si>
    <t>LOẠI VẬT LIỆU</t>
  </si>
  <si>
    <t>NHÓM VẬT LIỆU</t>
  </si>
  <si>
    <t>TÊN VẬT LIỆU</t>
  </si>
  <si>
    <t>TÊN GỌI MỚI SAU NÀY</t>
  </si>
  <si>
    <t>NHÓM NĂNG SUẤT</t>
  </si>
  <si>
    <t>TÊN GỌI CŨ TRÊN SAP</t>
  </si>
  <si>
    <t>KÝ TỰ 
NHÀ MÁY</t>
  </si>
  <si>
    <t>KÍ HIỆU</t>
  </si>
  <si>
    <t>ID</t>
  </si>
  <si>
    <t>ĐỘ DÀI
KÝ TỰ</t>
  </si>
  <si>
    <t>100000451598</t>
  </si>
  <si>
    <t>ĐÁ</t>
  </si>
  <si>
    <t>BAZAN</t>
  </si>
  <si>
    <t>ĐEN</t>
  </si>
  <si>
    <t>C</t>
  </si>
  <si>
    <t>ĐÁ ĐEN BAZAN</t>
  </si>
  <si>
    <t>AA</t>
  </si>
  <si>
    <t>BZ</t>
  </si>
  <si>
    <t>001</t>
  </si>
  <si>
    <t>100000474067</t>
  </si>
  <si>
    <t>GRANITE</t>
  </si>
  <si>
    <t>TRẮNG BÌNH ĐỊNH</t>
  </si>
  <si>
    <t>A</t>
  </si>
  <si>
    <t>ĐÁ TRẮNG BÌNH ĐỊNH</t>
  </si>
  <si>
    <t>GN</t>
  </si>
  <si>
    <t>003</t>
  </si>
  <si>
    <t>100000446895</t>
  </si>
  <si>
    <t>ABSOLUTE BLACK</t>
  </si>
  <si>
    <t>ĐÁ ABSOLUTE BLACK</t>
  </si>
  <si>
    <t>100000443841</t>
  </si>
  <si>
    <t>MARKINO BLACK</t>
  </si>
  <si>
    <t>ĐÁ-MARKINO_BLACK</t>
  </si>
  <si>
    <t>009</t>
  </si>
  <si>
    <t>100000451698</t>
  </si>
  <si>
    <t>KIM SA TRUNG</t>
  </si>
  <si>
    <t>F</t>
  </si>
  <si>
    <t>ĐÁ-KIM SA_TRUNG</t>
  </si>
  <si>
    <t>006</t>
  </si>
  <si>
    <t>100000448092</t>
  </si>
  <si>
    <t>SUPER BLACK</t>
  </si>
  <si>
    <t>DA SUPER BLACK</t>
  </si>
  <si>
    <t>010</t>
  </si>
  <si>
    <t>100000466614</t>
  </si>
  <si>
    <t>INDIA WHITE</t>
  </si>
  <si>
    <t>DA INDIA WHITE GRANITE</t>
  </si>
  <si>
    <t>002</t>
  </si>
  <si>
    <t>100000473282</t>
  </si>
  <si>
    <t>ĐEN NGÂN HÀ</t>
  </si>
  <si>
    <t>ĐÁ-ĐEN NGÂN HÀ</t>
  </si>
  <si>
    <t>004</t>
  </si>
  <si>
    <t>ĐEN PHÚ YÊN</t>
  </si>
  <si>
    <t>ĐÁ ĐEN PHÚ YÊN</t>
  </si>
  <si>
    <t>008</t>
  </si>
  <si>
    <t>100000472537</t>
  </si>
  <si>
    <t>XÁM SA MẠC</t>
  </si>
  <si>
    <t>DA-GRANITE SA MAC-XAM</t>
  </si>
  <si>
    <t>005</t>
  </si>
  <si>
    <t>100000473806</t>
  </si>
  <si>
    <t>RUBY RED</t>
  </si>
  <si>
    <t>ĐÁ-RUBY RED GRANITE</t>
  </si>
  <si>
    <t>007</t>
  </si>
  <si>
    <t>100000470839</t>
  </si>
  <si>
    <t>MARBLE</t>
  </si>
  <si>
    <t>DARK GREY EMPERADOR</t>
  </si>
  <si>
    <t>B</t>
  </si>
  <si>
    <t>ĐÁ-DARK GREY EMPERADOR</t>
  </si>
  <si>
    <t>MB</t>
  </si>
  <si>
    <t>021</t>
  </si>
  <si>
    <t>100000462811</t>
  </si>
  <si>
    <t>ATHEN GOLDEN FLOWER</t>
  </si>
  <si>
    <t>G</t>
  </si>
  <si>
    <t>ĐÁ-ATHEN GOLDEN FLOWER</t>
  </si>
  <si>
    <t>048</t>
  </si>
  <si>
    <t>100000447257</t>
  </si>
  <si>
    <t>LIGHT EMPERADOR</t>
  </si>
  <si>
    <t>ĐÁ MABLE LIGHT EMPERADOR</t>
  </si>
  <si>
    <t>100000474019</t>
  </si>
  <si>
    <t>CALACATTA VIOLA</t>
  </si>
  <si>
    <t>D</t>
  </si>
  <si>
    <t>ĐÁ MARBLE-CALACATTA-VIOLA</t>
  </si>
  <si>
    <t>100000457952</t>
  </si>
  <si>
    <t>NOIR ST LAURENT</t>
  </si>
  <si>
    <t>ĐÁ-NOIR ST LAURENT MARBLE</t>
  </si>
  <si>
    <t>028</t>
  </si>
  <si>
    <t>100000471919</t>
  </si>
  <si>
    <t>VOLAKAS BUTERLY</t>
  </si>
  <si>
    <t>L</t>
  </si>
  <si>
    <t>ĐÁ-VOLAKAS BUTERLY</t>
  </si>
  <si>
    <t>034</t>
  </si>
  <si>
    <t>100000420858</t>
  </si>
  <si>
    <t>EMPERADOR GREY</t>
  </si>
  <si>
    <t>DA GREY EMPERADOR (M2)</t>
  </si>
  <si>
    <t>100000465457</t>
  </si>
  <si>
    <t>ROSSO ALICANTE</t>
  </si>
  <si>
    <t>ĐÁ-ROSSO ALICANTE</t>
  </si>
  <si>
    <t>049</t>
  </si>
  <si>
    <t>100000433186</t>
  </si>
  <si>
    <t>ORIENTAL WHITE</t>
  </si>
  <si>
    <t>J</t>
  </si>
  <si>
    <t>DA ORIENTAL WHITE (SLABS) (M2)</t>
  </si>
  <si>
    <t>043</t>
  </si>
  <si>
    <t>PLATTINUM GREY</t>
  </si>
  <si>
    <t>K</t>
  </si>
  <si>
    <t>ĐÁ_PLATTINUM GREY</t>
  </si>
  <si>
    <t>040</t>
  </si>
  <si>
    <t>100000465505</t>
  </si>
  <si>
    <t>VOLAKAS ÍT VÂN</t>
  </si>
  <si>
    <t>ĐÁ-VOLAKAS ÍT VÂN</t>
  </si>
  <si>
    <t>035</t>
  </si>
  <si>
    <t>100000449013</t>
  </si>
  <si>
    <t>CARRARA WHITE</t>
  </si>
  <si>
    <t>DA CARRARA WHITE</t>
  </si>
  <si>
    <t>100000470838</t>
  </si>
  <si>
    <t>FANTASY BLACK</t>
  </si>
  <si>
    <t>DA-FANTASY BLACK</t>
  </si>
  <si>
    <t>022</t>
  </si>
  <si>
    <t>100000451699</t>
  </si>
  <si>
    <t>NERO MARQUINA</t>
  </si>
  <si>
    <t>H</t>
  </si>
  <si>
    <t>ĐÁ NERO MARQUINA</t>
  </si>
  <si>
    <t>100000458522</t>
  </si>
  <si>
    <t>POLARIS WHITE</t>
  </si>
  <si>
    <t>ĐÁ-POLARIS_WHITE</t>
  </si>
  <si>
    <t>031</t>
  </si>
  <si>
    <t>100000447721</t>
  </si>
  <si>
    <t>VOLAKAS EXTRA</t>
  </si>
  <si>
    <t>ĐÁ-VOLAKAS_EXTRA</t>
  </si>
  <si>
    <t>036</t>
  </si>
  <si>
    <t>100000451695</t>
  </si>
  <si>
    <t>ARISTON WHITE</t>
  </si>
  <si>
    <t>ĐÁ ARISTON WHITE</t>
  </si>
  <si>
    <t>045</t>
  </si>
  <si>
    <t>100000470512</t>
  </si>
  <si>
    <t>DESERT BEIGE</t>
  </si>
  <si>
    <t>ĐÁ DESERT BEIGE</t>
  </si>
  <si>
    <t>100000466615</t>
  </si>
  <si>
    <t>WHITE WOODEN</t>
  </si>
  <si>
    <t>ĐÁ WHITE WOODEN</t>
  </si>
  <si>
    <t>017</t>
  </si>
  <si>
    <t>100000415102</t>
  </si>
  <si>
    <t xml:space="preserve">XANH NAPOLI </t>
  </si>
  <si>
    <t>ĐÁ XANH NAPOLI (M2 SLAP)</t>
  </si>
  <si>
    <t>018</t>
  </si>
  <si>
    <t>100000465331</t>
  </si>
  <si>
    <t>BLACK FOREST</t>
  </si>
  <si>
    <t>ĐÁ-BLACK FOREST POLISHED</t>
  </si>
  <si>
    <t>020</t>
  </si>
  <si>
    <t>100000451729</t>
  </si>
  <si>
    <t>FOREST GREEN</t>
  </si>
  <si>
    <t>ĐÁ-FOREST_GREEN</t>
  </si>
  <si>
    <t>023</t>
  </si>
  <si>
    <t>100000474346</t>
  </si>
  <si>
    <t>WOODEN BROWN</t>
  </si>
  <si>
    <t>ĐÁ-WOODEN BROWN</t>
  </si>
  <si>
    <t>037</t>
  </si>
  <si>
    <t>100000413118</t>
  </si>
  <si>
    <t>GOLDEN BROWN</t>
  </si>
  <si>
    <t>DA GOLDEN BROWN 18LY (M2)</t>
  </si>
  <si>
    <t>041</t>
  </si>
  <si>
    <t>100000466103</t>
  </si>
  <si>
    <t>AURORA GREY</t>
  </si>
  <si>
    <t>ĐÁ AURORA_GREY</t>
  </si>
  <si>
    <t>100000466477</t>
  </si>
  <si>
    <t>TURKEY GREY</t>
  </si>
  <si>
    <t>ĐÁ MARBLE TURKEY GREY</t>
  </si>
  <si>
    <t>100000470514</t>
  </si>
  <si>
    <t>SANT LAUREN</t>
  </si>
  <si>
    <t>ĐÁ SANT LAUREN</t>
  </si>
  <si>
    <t>012</t>
  </si>
  <si>
    <t>100000470498</t>
  </si>
  <si>
    <t>SATIN BEIGE</t>
  </si>
  <si>
    <t>DA SATIN BEIGE</t>
  </si>
  <si>
    <t>013</t>
  </si>
  <si>
    <t>100000474255</t>
  </si>
  <si>
    <t>SILVER GREY</t>
  </si>
  <si>
    <t>ĐÁ SILVER GREY MARBLE</t>
  </si>
  <si>
    <t>014</t>
  </si>
  <si>
    <t>100000470834</t>
  </si>
  <si>
    <t>TUNDRA GREY</t>
  </si>
  <si>
    <t>ĐÁ TUNDRA GREY</t>
  </si>
  <si>
    <t>015</t>
  </si>
  <si>
    <t>100000458635</t>
  </si>
  <si>
    <t>HERMES GREY</t>
  </si>
  <si>
    <t>ĐÁ-HERMES_GREY</t>
  </si>
  <si>
    <t>025</t>
  </si>
  <si>
    <t>100000446897</t>
  </si>
  <si>
    <t>VENUS WHITE</t>
  </si>
  <si>
    <t>ĐÁ VENUS WHITE</t>
  </si>
  <si>
    <t>016</t>
  </si>
  <si>
    <t>100000447050</t>
  </si>
  <si>
    <t>JAGUAR GREY</t>
  </si>
  <si>
    <t>ĐÁ_JAGUAR GREY</t>
  </si>
  <si>
    <t>019</t>
  </si>
  <si>
    <t>100000457951</t>
  </si>
  <si>
    <t>GALAXY GREY</t>
  </si>
  <si>
    <t>DA-GALAXY_GREY MARBLE</t>
  </si>
  <si>
    <t>024</t>
  </si>
  <si>
    <t>100000463943</t>
  </si>
  <si>
    <t>MOLTON GREY</t>
  </si>
  <si>
    <t>DA-MARBLE MOLTON_GREY</t>
  </si>
  <si>
    <t>026</t>
  </si>
  <si>
    <t>100000453672</t>
  </si>
  <si>
    <t>SAVANA GREY</t>
  </si>
  <si>
    <t>DA-MARBLE_SAVANA_GREY</t>
  </si>
  <si>
    <t>027</t>
  </si>
  <si>
    <t>100000458359</t>
  </si>
  <si>
    <t>PIETRA GREY</t>
  </si>
  <si>
    <t>ĐÁ-PIETRA_GREY</t>
  </si>
  <si>
    <t>030</t>
  </si>
  <si>
    <t>SAHARA NOIR</t>
  </si>
  <si>
    <t>DA-SAHARA NOIR MARBLE</t>
  </si>
  <si>
    <t>038</t>
  </si>
  <si>
    <t>100000372005</t>
  </si>
  <si>
    <t>OMAN BEIGE</t>
  </si>
  <si>
    <t>ĐÁ OMAN BEIGE</t>
  </si>
  <si>
    <t>011</t>
  </si>
  <si>
    <t>100000418573</t>
  </si>
  <si>
    <t>ARABESCATO</t>
  </si>
  <si>
    <t>ĐÁ ARABESCATO (SLAB) (M2)</t>
  </si>
  <si>
    <t>100000451976</t>
  </si>
  <si>
    <t>ROYAL GREY</t>
  </si>
  <si>
    <t>DA ROYAL GREY</t>
  </si>
  <si>
    <t>046</t>
  </si>
  <si>
    <t>100000462552</t>
  </si>
  <si>
    <t>MOON LIGHT</t>
  </si>
  <si>
    <t>DA-MOON LIGHT</t>
  </si>
  <si>
    <t>047</t>
  </si>
  <si>
    <t>100000448090</t>
  </si>
  <si>
    <t>AMAN BROWN</t>
  </si>
  <si>
    <t>ĐÁ AMAN BROWN</t>
  </si>
  <si>
    <t>044</t>
  </si>
  <si>
    <t>100000466091</t>
  </si>
  <si>
    <t>EXUMA GREY</t>
  </si>
  <si>
    <t>DA-EXUMA GREY HONED</t>
  </si>
  <si>
    <t>050</t>
  </si>
  <si>
    <t>100000470705</t>
  </si>
  <si>
    <t>TRAVENTINE</t>
  </si>
  <si>
    <t>ĐÁ-TRAVENTINE</t>
  </si>
  <si>
    <t>033</t>
  </si>
  <si>
    <t>100000422622</t>
  </si>
  <si>
    <t>GREY JADE</t>
  </si>
  <si>
    <t>DA MARBLE GREY JADE (SLAB) (M2)</t>
  </si>
  <si>
    <t>042</t>
  </si>
  <si>
    <t>100000468857</t>
  </si>
  <si>
    <t>BLUE ROMA</t>
  </si>
  <si>
    <t>ĐÁ  BLUE ROMA</t>
  </si>
  <si>
    <t>051</t>
  </si>
  <si>
    <t>100000422659</t>
  </si>
  <si>
    <t>STATURIO</t>
  </si>
  <si>
    <t>DA MARBLE STATURIO (SLAB) (M2)</t>
  </si>
  <si>
    <t>FUSHION</t>
  </si>
  <si>
    <t>ĐÁ_FUSHION_MARBLE</t>
  </si>
  <si>
    <t>039</t>
  </si>
  <si>
    <t>100000472116</t>
  </si>
  <si>
    <t>SOFITA</t>
  </si>
  <si>
    <t>ĐÁ-SOFITA</t>
  </si>
  <si>
    <t>032</t>
  </si>
  <si>
    <t>100000473758</t>
  </si>
  <si>
    <t>PESCO</t>
  </si>
  <si>
    <t>DA-PESCO MARBLE</t>
  </si>
  <si>
    <t>029</t>
  </si>
  <si>
    <t>100000473365</t>
  </si>
  <si>
    <t>NUNG KẾT</t>
  </si>
  <si>
    <t>M08 MACHIA NHÁM</t>
  </si>
  <si>
    <t>E</t>
  </si>
  <si>
    <t>ĐÁ-M08 MACHIA NHÁM</t>
  </si>
  <si>
    <t>NK</t>
  </si>
  <si>
    <t>100000450720</t>
  </si>
  <si>
    <t>ONYX</t>
  </si>
  <si>
    <t>HYMALYAN</t>
  </si>
  <si>
    <t>ĐÁ-HYMALYAN ONYX</t>
  </si>
  <si>
    <t>ON</t>
  </si>
  <si>
    <t>100000469510</t>
  </si>
  <si>
    <t>RAINBOW</t>
  </si>
  <si>
    <t>ĐÁ-RAINBOW ONYX</t>
  </si>
  <si>
    <t>100000470441</t>
  </si>
  <si>
    <t>WHITE</t>
  </si>
  <si>
    <t>ĐÁ-WHITE ONYX</t>
  </si>
  <si>
    <t>100000466310</t>
  </si>
  <si>
    <t>QUARTZ</t>
  </si>
  <si>
    <t>S104VN22M1 THẠCH ANH VÀNG NGỌC</t>
  </si>
  <si>
    <t>I</t>
  </si>
  <si>
    <t>ĐÁ QUARTZ S104VN22M1</t>
  </si>
  <si>
    <t>QU</t>
  </si>
  <si>
    <t>100000467688</t>
  </si>
  <si>
    <t>BQ8920 VICOSTONE FORZA</t>
  </si>
  <si>
    <t>DA-VICOSTONE BQ8920</t>
  </si>
  <si>
    <t>100000470767</t>
  </si>
  <si>
    <t>PQ169 CALACATTA GOLD</t>
  </si>
  <si>
    <t>ĐÁ QUARTZ PQ 169</t>
  </si>
  <si>
    <t>100000472539</t>
  </si>
  <si>
    <t>BQ2600 VALLEY WHITE</t>
  </si>
  <si>
    <t>ĐÁ-NHÂN TẠO_BQ2600</t>
  </si>
  <si>
    <t>C4246 CASLA MYSTERY</t>
  </si>
  <si>
    <t>ĐÁ_QUARTZ C4246</t>
  </si>
  <si>
    <t>100000462414</t>
  </si>
  <si>
    <t>QS306 CARRARA OCEAN</t>
  </si>
  <si>
    <t>DA-CARRARA_OCEAN QS 306</t>
  </si>
  <si>
    <t>100000470511</t>
  </si>
  <si>
    <t xml:space="preserve"> 6131 BIANCO DRIFT</t>
  </si>
  <si>
    <t>DA NHAN TAO 6131 BIANCO DRIFT</t>
  </si>
  <si>
    <t>100000472868</t>
  </si>
  <si>
    <t>BQ370 SHELLS WHITE</t>
  </si>
  <si>
    <t>ĐÁ NHÂN TẠO BQ370</t>
  </si>
  <si>
    <t>100000471847</t>
  </si>
  <si>
    <t>BQ9310 SILVER SEA</t>
  </si>
  <si>
    <t>ĐÁ NHÂN TẠO_BQ9310</t>
  </si>
  <si>
    <t>100000465684</t>
  </si>
  <si>
    <t>QS525 AURORA SNOW</t>
  </si>
  <si>
    <t>ĐÁ-QUARTZ AURORA SNOW QS525</t>
  </si>
  <si>
    <t>100000461387</t>
  </si>
  <si>
    <t>QS503 SNOW WHITE</t>
  </si>
  <si>
    <t>DA-SNOW WHITE QUARTZ STONE_QS503</t>
  </si>
  <si>
    <t>100000461904</t>
  </si>
  <si>
    <t>PS350 STORM GREY</t>
  </si>
  <si>
    <t>ĐÁ-STORM_GREY_PS350</t>
  </si>
  <si>
    <t>100000474241</t>
  </si>
  <si>
    <t>BQ8815 MISTERIO</t>
  </si>
  <si>
    <t>DA NHAN TAO BQ8815</t>
  </si>
  <si>
    <t>100000471849</t>
  </si>
  <si>
    <t>C4204 CALACATTA</t>
  </si>
  <si>
    <t>ĐÁ NHÂN TẠO CALACATTA C4204</t>
  </si>
  <si>
    <t>100000471848</t>
  </si>
  <si>
    <t>BS4010 CAMELLA</t>
  </si>
  <si>
    <t>ĐÁ-NHAN TAO_CAMELLA BS4010</t>
  </si>
  <si>
    <t>100000470523</t>
  </si>
  <si>
    <t>BQ 8805 CENDRE</t>
  </si>
  <si>
    <t>ĐÁ-QUARTZ BQ 8805</t>
  </si>
  <si>
    <t>100000471844</t>
  </si>
  <si>
    <t>AV022 ARISTON</t>
  </si>
  <si>
    <t>ĐÁ-NHÂN TẠO AV-022</t>
  </si>
  <si>
    <t>100000472538</t>
  </si>
  <si>
    <t>BQ2605 DENALI</t>
  </si>
  <si>
    <t>ĐÁ-NHÂN TẠO_BQ2605</t>
  </si>
  <si>
    <t>100000470766</t>
  </si>
  <si>
    <t>C1026 POLAR</t>
  </si>
  <si>
    <t>ĐÁ QUARTZ C 1026</t>
  </si>
  <si>
    <t>100000464779</t>
  </si>
  <si>
    <t>RSN4003</t>
  </si>
  <si>
    <t>ĐÁ QUARTZ RSN4003</t>
  </si>
  <si>
    <t>100000469670</t>
  </si>
  <si>
    <t>RSV3230</t>
  </si>
  <si>
    <t>ĐÁ QUARTZ RSV 3230</t>
  </si>
  <si>
    <t>100000474619</t>
  </si>
  <si>
    <t>RC4072</t>
  </si>
  <si>
    <t>DA QUARTZ_RC 4072</t>
  </si>
  <si>
    <t>100000470765</t>
  </si>
  <si>
    <t>BQ2607</t>
  </si>
  <si>
    <t>ĐÁ-NHÂN TẠO_BQ2607</t>
  </si>
  <si>
    <t>100000469512</t>
  </si>
  <si>
    <t>NDVC29</t>
  </si>
  <si>
    <t>ĐÁ QUARTZ NDVC29</t>
  </si>
  <si>
    <t>100000474244</t>
  </si>
  <si>
    <t>QS401</t>
  </si>
  <si>
    <t>DA QUARTZ QS 401</t>
  </si>
  <si>
    <t>100000470864</t>
  </si>
  <si>
    <t>QS504</t>
  </si>
  <si>
    <t>ĐÁ-NHÂN TẠO_QS-504</t>
  </si>
  <si>
    <t>100000465814</t>
  </si>
  <si>
    <t>QS530</t>
  </si>
  <si>
    <t>ĐÁ-QUARTZ QS530</t>
  </si>
  <si>
    <t>100000470522</t>
  </si>
  <si>
    <t>AW01</t>
  </si>
  <si>
    <t>ĐÁ-QUARZT AW01</t>
  </si>
  <si>
    <t>THỐNG KÊ TỐC ĐỘ CẮT  CỦA MÁY CNC ĐÁ
(mm/phút)</t>
  </si>
  <si>
    <t>KÍCH THƯỚC</t>
  </si>
  <si>
    <t>MÃ MÁY</t>
  </si>
  <si>
    <t>CNCTNC0001</t>
  </si>
  <si>
    <t>CNCTNC0002</t>
  </si>
  <si>
    <t>CNCTNC0003</t>
  </si>
  <si>
    <t>CNCTNC0004</t>
  </si>
  <si>
    <t>CNCTNC0005</t>
  </si>
  <si>
    <t>CNCCCC0001</t>
  </si>
  <si>
    <t>CNCCCC0002</t>
  </si>
  <si>
    <t>CNCCCC0003</t>
  </si>
  <si>
    <t>CNCTRT0001</t>
  </si>
  <si>
    <t>CNCTRT0002</t>
  </si>
  <si>
    <t>CATVTC0001</t>
  </si>
  <si>
    <t>&lt; 200 mm</t>
  </si>
  <si>
    <t>200- 400 mm</t>
  </si>
  <si>
    <t>400-600 mm</t>
  </si>
  <si>
    <t>&gt; 600 mm</t>
  </si>
  <si>
    <t>Solid surface</t>
  </si>
  <si>
    <t>Tundar grey</t>
  </si>
  <si>
    <t>R</t>
  </si>
  <si>
    <t>CƠ SỞ TÍNH TOÁN CẢI TIẾN XƯỞNG 8C</t>
  </si>
  <si>
    <t>KỊCH BẢN KẾ HOẠCH SẢN SUẤT</t>
  </si>
  <si>
    <t>YẾU TỐ</t>
  </si>
  <si>
    <t>KHỐI LƯỢNG</t>
  </si>
  <si>
    <t>ĐƠN VỊ TÍNH</t>
  </si>
  <si>
    <t>GHI CHÚ</t>
  </si>
  <si>
    <t>Ngưỡng dưới</t>
  </si>
  <si>
    <t>m2/ ngày</t>
  </si>
  <si>
    <t>Ngưỡng trên</t>
  </si>
  <si>
    <t>Số ngày công chuẩn</t>
  </si>
  <si>
    <t>ngày</t>
  </si>
  <si>
    <t>Ô màu vàng là ô nhập giá trị khai báo ban đầu</t>
  </si>
  <si>
    <t>Năng suất</t>
  </si>
  <si>
    <t>Khối lượng slab đá</t>
  </si>
  <si>
    <t>Khối lượng
m2</t>
  </si>
  <si>
    <t>Doanh số cần đạt</t>
  </si>
  <si>
    <t>VND/ tháng</t>
  </si>
  <si>
    <t>Năng suất yêu cầu</t>
  </si>
  <si>
    <t>Đơn giá đá trung bình</t>
  </si>
  <si>
    <t>VND</t>
  </si>
  <si>
    <t>Năng suất máy VTT</t>
  </si>
  <si>
    <t xml:space="preserve">Năng suất </t>
  </si>
  <si>
    <t>m2/ tháng</t>
  </si>
  <si>
    <t>Năng suất máy YD1</t>
  </si>
  <si>
    <t>Hệ số an toàn</t>
  </si>
  <si>
    <t>Năng suất máy YD2</t>
  </si>
  <si>
    <t>Năng suất dùng tính toán</t>
  </si>
  <si>
    <t>Năng suất máy WJ1</t>
  </si>
  <si>
    <t>Năng suất trung bình ngày</t>
  </si>
  <si>
    <t>Năng suất máy WJ2</t>
  </si>
  <si>
    <t>Ngưỡng dưới an toàn</t>
  </si>
  <si>
    <t>Năng suất máy WJ3</t>
  </si>
  <si>
    <t>Ngưỡng trên tới hạn</t>
  </si>
  <si>
    <t>Năng suất máy WJ4</t>
  </si>
  <si>
    <t>Diện tích t/b slab đá</t>
  </si>
  <si>
    <t>m2</t>
  </si>
  <si>
    <t>NĂNG SUẤT LÀM LAYOUT TRÊN SLAB ĐÁ</t>
  </si>
  <si>
    <t>Tỷ lệ hao hụt</t>
  </si>
  <si>
    <t>Tỷ trọng năng suất máy VTT</t>
  </si>
  <si>
    <t>Tối thiểu</t>
  </si>
  <si>
    <t>Tối đa</t>
  </si>
  <si>
    <t>Đơn vị</t>
  </si>
  <si>
    <t>Ghi chú</t>
  </si>
  <si>
    <t>Tỷ trọng năng suất máy YD1</t>
  </si>
  <si>
    <t>Số lượng layout slab đá trong 1 tháng đầu</t>
  </si>
  <si>
    <t>layout/
ngày</t>
  </si>
  <si>
    <r>
      <rPr>
        <b/>
        <sz val="11"/>
        <color rgb="FFFF0000"/>
        <rFont val="Calibri"/>
        <charset val="134"/>
        <scheme val="minor"/>
      </rPr>
      <t>Điều kiện cần:</t>
    </r>
    <r>
      <rPr>
        <sz val="11"/>
        <color theme="1"/>
        <rFont val="Calibri"/>
        <charset val="134"/>
        <scheme val="minor"/>
      </rPr>
      <t xml:space="preserve"> Các slab đá đã có file scan vân đá.
</t>
    </r>
    <r>
      <rPr>
        <b/>
        <sz val="11"/>
        <color rgb="FF00B050"/>
        <rFont val="Calibri"/>
        <charset val="134"/>
        <scheme val="minor"/>
      </rPr>
      <t>Giải pháp:</t>
    </r>
    <r>
      <rPr>
        <sz val="11"/>
        <color theme="1"/>
        <rFont val="Calibri"/>
        <charset val="134"/>
        <scheme val="minor"/>
      </rPr>
      <t xml:space="preserve"> Anh Hoài Anh lead 1 đội chuyên scan slab đá gửi cho anh Trung.</t>
    </r>
  </si>
  <si>
    <t>Tỷ trọng năng suất máy YD2</t>
  </si>
  <si>
    <t>Tỷ trọng năng suất máy WJ1</t>
  </si>
  <si>
    <t>Số lượng layout slab đá trong 2 tháng tiếp theo</t>
  </si>
  <si>
    <t>Tỷ trọng năng suất máy WJ2</t>
  </si>
  <si>
    <t>Tỷ trọng năng suất máy WJ3</t>
  </si>
  <si>
    <t>Số lượng layout slab đá từ tháng thứ 3 trở đi</t>
  </si>
  <si>
    <t>Tỷ trọng năng suất máy WJ4</t>
  </si>
  <si>
    <t>A/ Kế hoạch xưởng
Khai báo thông tin ban đầu</t>
  </si>
  <si>
    <t>B/ Quản đốc xưởng
Xây dựng kế hoạch chạy máy</t>
  </si>
  <si>
    <t>C/ Quản lý kho phụ trách vật tư
Cấp phát và đặt hàng</t>
  </si>
  <si>
    <t>Hệ thống
(tự sinh)</t>
  </si>
  <si>
    <t>Nhập liệu</t>
  </si>
  <si>
    <t>Chọn</t>
  </si>
  <si>
    <t>(A1)</t>
  </si>
  <si>
    <t>(A2)</t>
  </si>
  <si>
    <t>(A3)</t>
  </si>
  <si>
    <t>(A4)</t>
  </si>
  <si>
    <t>(A5)</t>
  </si>
  <si>
    <t>(A6)</t>
  </si>
  <si>
    <t>(A7)</t>
  </si>
  <si>
    <t>(A8)</t>
  </si>
  <si>
    <t>(A9)</t>
  </si>
  <si>
    <t>(A10)</t>
  </si>
  <si>
    <t>(A11)</t>
  </si>
  <si>
    <t>(B1)</t>
  </si>
  <si>
    <t>(B2)</t>
  </si>
  <si>
    <t>(B3)</t>
  </si>
  <si>
    <t>(B4)</t>
  </si>
  <si>
    <t>(B5)</t>
  </si>
  <si>
    <t>(B6)</t>
  </si>
  <si>
    <t>(B7)</t>
  </si>
  <si>
    <t>(B8)</t>
  </si>
  <si>
    <t>(B9)</t>
  </si>
  <si>
    <t>(B10)</t>
  </si>
  <si>
    <t>(B11)</t>
  </si>
  <si>
    <t>(C1)</t>
  </si>
  <si>
    <t>(C2)</t>
  </si>
  <si>
    <t>(C3)</t>
  </si>
  <si>
    <t>(C4)</t>
  </si>
  <si>
    <t>(C5)</t>
  </si>
  <si>
    <t>(C6)</t>
  </si>
  <si>
    <t>(C7)</t>
  </si>
  <si>
    <t>(C8)</t>
  </si>
  <si>
    <t>Stt</t>
  </si>
  <si>
    <t>ID lệnh</t>
  </si>
  <si>
    <t>Mã nhà máy</t>
  </si>
  <si>
    <t>Đơn vị tính</t>
  </si>
  <si>
    <t>Mã đá nhà máy</t>
  </si>
  <si>
    <t>Mã chi tiết nội bộ xưởng</t>
  </si>
  <si>
    <t>Tên chi tiết</t>
  </si>
  <si>
    <t>Nơi thực hiện</t>
  </si>
  <si>
    <t>Vật liệu gia công</t>
  </si>
  <si>
    <t>Mã quy trình</t>
  </si>
  <si>
    <t>Cut to size</t>
  </si>
  <si>
    <t>Vát 45</t>
  </si>
  <si>
    <t>CMS</t>
  </si>
  <si>
    <t>Tên vật tư</t>
  </si>
  <si>
    <t>ID Vật tư</t>
  </si>
  <si>
    <t>Hình ảnh</t>
  </si>
  <si>
    <t>Khối lượng tồn kho</t>
  </si>
  <si>
    <t>Khối lượng cần sử dụng</t>
  </si>
  <si>
    <t>Khối lượng đặt thêm</t>
  </si>
  <si>
    <t>Cái</t>
  </si>
  <si>
    <t>Nhà máy</t>
  </si>
  <si>
    <t>Quy trình 1</t>
  </si>
  <si>
    <t>Bộ</t>
  </si>
  <si>
    <t>Gia công ngoài</t>
  </si>
  <si>
    <t>Quy trình 2</t>
  </si>
  <si>
    <t>Quy trình 3</t>
  </si>
  <si>
    <t>Quy trình 4</t>
  </si>
  <si>
    <t>Quy trình 5</t>
  </si>
  <si>
    <t>Quy trình 6</t>
  </si>
  <si>
    <t>Quy trình 7</t>
  </si>
  <si>
    <t>Polaris</t>
  </si>
  <si>
    <t>Volakas</t>
  </si>
  <si>
    <r>
      <rPr>
        <b/>
        <sz val="16"/>
        <color theme="1"/>
        <rFont val="Times New Roman"/>
        <charset val="134"/>
      </rPr>
      <t xml:space="preserve">CÔNG ĐOẠN THỰC HIỆN TRÊN MÁY
(Điền </t>
    </r>
    <r>
      <rPr>
        <b/>
        <sz val="16"/>
        <color rgb="FFFF0000"/>
        <rFont val="Times New Roman"/>
        <charset val="134"/>
      </rPr>
      <t>dấu "X"</t>
    </r>
    <r>
      <rPr>
        <b/>
        <sz val="16"/>
        <color theme="1"/>
        <rFont val="Times New Roman"/>
        <charset val="134"/>
      </rPr>
      <t xml:space="preserve"> thích hợp vào ô bôi </t>
    </r>
    <r>
      <rPr>
        <b/>
        <sz val="16"/>
        <color theme="8"/>
        <rFont val="Times New Roman"/>
        <charset val="134"/>
      </rPr>
      <t>xanh</t>
    </r>
    <r>
      <rPr>
        <b/>
        <sz val="16"/>
        <rFont val="Times New Roman"/>
        <charset val="134"/>
      </rPr>
      <t>)</t>
    </r>
  </si>
  <si>
    <t>Công đoạn thực hiện</t>
  </si>
  <si>
    <t>Bước quy trình</t>
  </si>
  <si>
    <t>CHỐNG THẤM DÁN DECAL</t>
  </si>
  <si>
    <t>Cắt thẳng</t>
  </si>
  <si>
    <t>Cắt dị hình</t>
  </si>
  <si>
    <t>Chém 45</t>
  </si>
  <si>
    <t>Phào chỉ (CMS)</t>
  </si>
  <si>
    <t>GHÉP MÔI</t>
  </si>
  <si>
    <t>VÁT LÁ HẸ</t>
  </si>
  <si>
    <t xml:space="preserve">Đánh bóng </t>
  </si>
  <si>
    <t>LẮP ĐẶT</t>
  </si>
  <si>
    <t>GHÉP HOA VĂN</t>
  </si>
  <si>
    <t>XỬ LÝ HOÀN THIỆN</t>
  </si>
  <si>
    <t xml:space="preserve">CHỐNG THẤM DÁN SỐ </t>
  </si>
  <si>
    <t>ĐÓNG KIỆN</t>
  </si>
  <si>
    <t>GIAO NỘI BỘ</t>
  </si>
  <si>
    <t>ĐÁ GRANIT</t>
  </si>
  <si>
    <t>ĐÁ MARBLE</t>
  </si>
  <si>
    <t>GẠCH NUNG KẾT</t>
  </si>
  <si>
    <t>KÍNH</t>
  </si>
  <si>
    <t>Tiến độ
thực hiện</t>
  </si>
  <si>
    <t>QUY TRÌNH</t>
  </si>
  <si>
    <t>DRY-LAY</t>
  </si>
  <si>
    <t>Cut To Size</t>
  </si>
  <si>
    <t>VÁT 45</t>
  </si>
  <si>
    <t>TỔ ĐÁ</t>
  </si>
  <si>
    <t>LAYOUT-DÁN TEM SỐ</t>
  </si>
  <si>
    <t>X</t>
  </si>
  <si>
    <t>04/10/2024 hoàn thành
Người phụ trách: Anh Thức - Anh Hoài Anh</t>
  </si>
  <si>
    <t>Quy trình 8</t>
  </si>
  <si>
    <t>Quy trình 9</t>
  </si>
  <si>
    <t>Quy trình 10</t>
  </si>
  <si>
    <t>Quy trình 11</t>
  </si>
  <si>
    <t>Quy trình 12</t>
  </si>
  <si>
    <t>Quy trình 13</t>
  </si>
  <si>
    <t>Quy trình 14</t>
  </si>
  <si>
    <t>DANH SÁCH MÁY GIA CÔNG ĐÁ/ KÍNH XƯỞNG 8C</t>
  </si>
  <si>
    <t>TÊN MÁY</t>
  </si>
  <si>
    <t>MODEL</t>
  </si>
  <si>
    <t>VỊ TRÍ</t>
  </si>
  <si>
    <t>MAIKTR0001</t>
  </si>
  <si>
    <t>MÁY CÙI CHỎ (BYM100-2100)</t>
  </si>
  <si>
    <t>BYM100-2100</t>
  </si>
  <si>
    <t>Nhà xưởng 8C</t>
  </si>
  <si>
    <t>VSHRKH0001</t>
  </si>
  <si>
    <t>MÁY RỬA KÍNH (BX1200)</t>
  </si>
  <si>
    <t>BX1200</t>
  </si>
  <si>
    <t>CATVTC0002</t>
  </si>
  <si>
    <t>MÁY MÀI CẠNH ĐỨNG (BZM9-3-25)</t>
  </si>
  <si>
    <t>BZM9-3-25</t>
  </si>
  <si>
    <t>KHNKNH0001</t>
  </si>
  <si>
    <t>MÁY KHOAN KÍNH (BZ3-50)</t>
  </si>
  <si>
    <t>BZ3-50</t>
  </si>
  <si>
    <t>MÁY LÍP 45</t>
  </si>
  <si>
    <t>CATVTC0003</t>
  </si>
  <si>
    <t>MÁY MÀI CẠNH VÁT (BZXM11)</t>
  </si>
  <si>
    <t>BZXM11</t>
  </si>
  <si>
    <t>MÁY CẮT CẦU</t>
  </si>
  <si>
    <t>CNCKIH0001</t>
  </si>
  <si>
    <t>MÁY CNC CẮT KÍNH (JINGLING)</t>
  </si>
  <si>
    <t>JINGLING</t>
  </si>
  <si>
    <t>CNCTNC0006</t>
  </si>
  <si>
    <t>MÁY CẮT TIA NƯỚC BYSTRONIC (BYJET SMART 3015)</t>
  </si>
  <si>
    <t>BYJET SMART 3015</t>
  </si>
  <si>
    <t>MÁY CẮT TIA NƯỚC WJ - 01 (HEAD3020BA)</t>
  </si>
  <si>
    <t>HEAD3020BA</t>
  </si>
  <si>
    <t>MÁY CẮT TIA NƯỚC WJ - 02 (HEAD3020BA-F)</t>
  </si>
  <si>
    <t>HEAD3020BA-F</t>
  </si>
  <si>
    <t>MÁY CẮT TIA NƯỚC WJ - 03 (HEAD3020BA-F)</t>
  </si>
  <si>
    <t>MÁY CẮT TIA NƯỚC WJ - 04 (HEAD3020BA-F)</t>
  </si>
  <si>
    <t>MÁY CẮT TIA NƯỚC WJ - 05 (HEAD3020BA-F)</t>
  </si>
  <si>
    <t>MÁY CMS - 01 (TN-C/TN-S 7390)</t>
  </si>
  <si>
    <t>TN-C/TN-S 7390</t>
  </si>
  <si>
    <t>MÁY CMS - 02 (TN-C/TN-S 8517)</t>
  </si>
  <si>
    <t>TN-C/TN-S 8517</t>
  </si>
  <si>
    <t>MÁY CẮT CẦU 5 TRỤC (YQ5H-3624)</t>
  </si>
  <si>
    <t>YQ5H-3624</t>
  </si>
  <si>
    <t>THÔNG TIN DAO CỤ CẮT GỌT</t>
  </si>
  <si>
    <t>ID SAP</t>
  </si>
  <si>
    <t>Tên gọi</t>
  </si>
  <si>
    <t>Thông số kỹ thuật</t>
  </si>
  <si>
    <t>Máy sử dụng</t>
  </si>
  <si>
    <t>Tuổi thọ dao cụ
(m dài)</t>
  </si>
  <si>
    <t>Lưỡi cưa máy cắt cầu VTTECH</t>
  </si>
  <si>
    <t>Máy VTTECH</t>
  </si>
  <si>
    <t>30M2=120M</t>
  </si>
  <si>
    <t>04/10/2024 hoàn thành
Người phụ trách: Anh Hoài Anh</t>
  </si>
  <si>
    <t>Máy YONGDA</t>
  </si>
  <si>
    <t>Máy CMS 1</t>
  </si>
  <si>
    <t>Máy CMS 2</t>
  </si>
  <si>
    <t>Đầu phun hạt mài</t>
  </si>
  <si>
    <t xml:space="preserve">Máy Waterjet </t>
  </si>
  <si>
    <t>20M2=80M</t>
  </si>
  <si>
    <t>MÃ  ID MÁY</t>
  </si>
  <si>
    <t>LOẠI ĐÁ</t>
  </si>
  <si>
    <t>QUY CÁCH</t>
  </si>
  <si>
    <t>MÁY CẮT CẦU VTTECH</t>
  </si>
  <si>
    <t>D350X50X3.1</t>
  </si>
  <si>
    <t>D350X50X3.3</t>
  </si>
  <si>
    <t>D350X50X2.6</t>
  </si>
  <si>
    <r>
      <rPr>
        <sz val="11"/>
        <color theme="1"/>
        <rFont val="Calibri"/>
        <charset val="134"/>
        <scheme val="minor"/>
      </rPr>
      <t xml:space="preserve">MÁY CẮT CẦU YONGDA 
</t>
    </r>
    <r>
      <rPr>
        <b/>
        <sz val="11"/>
        <color rgb="FFFF0000"/>
        <rFont val="Calibri"/>
        <charset val="134"/>
        <scheme val="minor"/>
      </rPr>
      <t>CÓ 02  MÁY</t>
    </r>
  </si>
  <si>
    <t>CNCCCC0001 &amp;CNCCCC002</t>
  </si>
  <si>
    <t>D450X50X3.8</t>
  </si>
  <si>
    <t>D300X50X3.1</t>
  </si>
  <si>
    <t>D300X50X3.3</t>
  </si>
  <si>
    <t>MÁY CMS 001</t>
  </si>
  <si>
    <t>D150X50X1.5</t>
  </si>
  <si>
    <t>MÁY CMS 002</t>
  </si>
  <si>
    <t>D500X60X4.2</t>
  </si>
  <si>
    <t>D500X60X4.5</t>
  </si>
  <si>
    <t>ĐẦU PHUN HẠT MÀI</t>
  </si>
  <si>
    <r>
      <rPr>
        <b/>
        <sz val="16"/>
        <color theme="1"/>
        <rFont val="Times New Roman"/>
        <charset val="134"/>
      </rPr>
      <t>CÔNG NĂNG MÁY THEO VẬT LIỆU
(Điền</t>
    </r>
    <r>
      <rPr>
        <b/>
        <sz val="16"/>
        <color rgb="FFFF0000"/>
        <rFont val="Times New Roman"/>
        <charset val="134"/>
      </rPr>
      <t xml:space="preserve"> loại vật liệu</t>
    </r>
    <r>
      <rPr>
        <b/>
        <sz val="16"/>
        <color theme="1"/>
        <rFont val="Times New Roman"/>
        <charset val="134"/>
      </rPr>
      <t xml:space="preserve"> thích hợp vào ô bôi </t>
    </r>
    <r>
      <rPr>
        <b/>
        <sz val="16"/>
        <color theme="8"/>
        <rFont val="Times New Roman"/>
        <charset val="134"/>
      </rPr>
      <t>xanh</t>
    </r>
    <r>
      <rPr>
        <b/>
        <sz val="16"/>
        <rFont val="Times New Roman"/>
        <charset val="134"/>
      </rPr>
      <t>)</t>
    </r>
  </si>
  <si>
    <t>Tên máy</t>
  </si>
  <si>
    <t>Mã máy</t>
  </si>
  <si>
    <t>Chức năng</t>
  </si>
  <si>
    <t>ĐÓNG KIỆN OR GIAO NỘI BỘ</t>
  </si>
  <si>
    <r>
      <rPr>
        <b/>
        <sz val="16"/>
        <color theme="1"/>
        <rFont val="Times New Roman"/>
        <charset val="134"/>
      </rPr>
      <t xml:space="preserve">THÔNG TIN QUẢN LÝ CCDC
(Điền thông tin vào ô bôi </t>
    </r>
    <r>
      <rPr>
        <b/>
        <sz val="16"/>
        <color theme="4"/>
        <rFont val="Times New Roman"/>
        <charset val="134"/>
      </rPr>
      <t>xanh</t>
    </r>
    <r>
      <rPr>
        <b/>
        <sz val="16"/>
        <color theme="1"/>
        <rFont val="Times New Roman"/>
        <charset val="134"/>
      </rPr>
      <t>)</t>
    </r>
  </si>
  <si>
    <t>IW WMS</t>
  </si>
  <si>
    <t>QR ID WMS</t>
  </si>
  <si>
    <t>TÊN HÀNG
(Tiếng Việt có dấu)</t>
  </si>
  <si>
    <t>Thương hiệu</t>
  </si>
  <si>
    <t>Model</t>
  </si>
  <si>
    <t>Định Biên CCDC</t>
  </si>
  <si>
    <t>ĐỊNH BIÊN NHÂN LỰC</t>
  </si>
  <si>
    <t>SL CCDC ĐB</t>
  </si>
  <si>
    <t>SL CCDC HIỆN TẠI</t>
  </si>
  <si>
    <t>Sl Thợ ĐB</t>
  </si>
  <si>
    <t>Sl Thợ HIỆN TẠI</t>
  </si>
  <si>
    <t>SL LĐPT ĐB</t>
  </si>
  <si>
    <t>SL LĐPT HIỆN TẠI</t>
  </si>
  <si>
    <t xml:space="preserve">MÁY MÀI </t>
  </si>
  <si>
    <t>MAKITA</t>
  </si>
  <si>
    <t>9556HN</t>
  </si>
  <si>
    <t>10.10.2024</t>
  </si>
  <si>
    <t>MÁY CHÀ NHÁM RUNG</t>
  </si>
  <si>
    <t>BOSCH</t>
  </si>
  <si>
    <t>MÁY ĐÁNH BÓNG</t>
  </si>
  <si>
    <t>MÁY ĐÁNH SÀN</t>
  </si>
  <si>
    <t>MLEE</t>
  </si>
  <si>
    <t>MÁY SẤY</t>
  </si>
  <si>
    <t>MÁY KHOAN PIN</t>
  </si>
  <si>
    <t>GSR180</t>
  </si>
  <si>
    <t>MÁY MÀI GIẢM TỐC</t>
  </si>
  <si>
    <t>TRUNG QUỐC</t>
  </si>
  <si>
    <t>MÁY CẮT GỖ</t>
  </si>
  <si>
    <t xml:space="preserve">SUNG BẮN ĐINH </t>
  </si>
  <si>
    <t>BEX</t>
  </si>
  <si>
    <t>SÚNG BẮN ĐINH</t>
  </si>
  <si>
    <t>BRET</t>
  </si>
  <si>
    <t>MÁY BẮT VÍT HƠI</t>
  </si>
  <si>
    <t>MÁY KHOAN ĐIỆN</t>
  </si>
  <si>
    <t>MÁY MÀI THẲNG</t>
  </si>
  <si>
    <t xml:space="preserve">MÁY BẮN ĐINH PALLET </t>
  </si>
  <si>
    <t>AN902</t>
  </si>
  <si>
    <t>SÚNG BẮN KEO TITEBOND</t>
  </si>
  <si>
    <t>CẢO CHỮ C</t>
  </si>
  <si>
    <t xml:space="preserve">THƯỚC KE </t>
  </si>
  <si>
    <t>BÚA ĐỤC</t>
  </si>
  <si>
    <t xml:space="preserve">THƯỚC NHÔM </t>
  </si>
  <si>
    <t>Vật tư phụ</t>
  </si>
  <si>
    <t>Khối lượng cáp CAT6</t>
  </si>
  <si>
    <t>Đá cắt</t>
  </si>
  <si>
    <t>5 hộp</t>
  </si>
  <si>
    <t>WJ1</t>
  </si>
  <si>
    <t>Que hàn</t>
  </si>
  <si>
    <t>2 hộp</t>
  </si>
  <si>
    <t>WJ2</t>
  </si>
  <si>
    <t>WJ3</t>
  </si>
  <si>
    <t>WJ4</t>
  </si>
  <si>
    <t>WJ5</t>
  </si>
  <si>
    <t>BT1</t>
  </si>
  <si>
    <t>VTT</t>
  </si>
  <si>
    <t>YD1</t>
  </si>
  <si>
    <t>YD2</t>
  </si>
  <si>
    <t>CMS1</t>
  </si>
  <si>
    <t>CMS2</t>
  </si>
  <si>
    <t>Diện tích sơn kẻ vạch
KCC ET5660 VÀNG</t>
  </si>
  <si>
    <t>mm2</t>
  </si>
  <si>
    <t>500m2</t>
  </si>
  <si>
    <t>kg</t>
  </si>
  <si>
    <t>thùng</t>
  </si>
  <si>
    <r>
      <rPr>
        <b/>
        <sz val="30"/>
        <rFont val="Times New Roman"/>
        <charset val="134"/>
      </rPr>
      <t xml:space="preserve">BẢNG KẾ HOẠCH SẢN XUẤT XƯỞNG 8C
</t>
    </r>
    <r>
      <rPr>
        <b/>
        <sz val="30"/>
        <color rgb="FFFF0000"/>
        <rFont val="Times New Roman"/>
        <charset val="134"/>
      </rPr>
      <t>Ngày hoàn thành: 04/2024
Người thực hiện: Chị Thuý, Anh Thức support</t>
    </r>
  </si>
  <si>
    <t>KẾ HOẠCH</t>
  </si>
  <si>
    <t>THỰC TẾ</t>
  </si>
  <si>
    <t>Kế hoạch dự kiến</t>
  </si>
  <si>
    <r>
      <rPr>
        <sz val="14"/>
        <color theme="1" tint="0.24994659260841701"/>
        <rFont val="Times New Roman"/>
        <charset val="134"/>
      </rPr>
      <t>Khối lượng</t>
    </r>
    <r>
      <rPr>
        <sz val="14"/>
        <color rgb="FF00B050"/>
        <rFont val="Times New Roman"/>
        <charset val="134"/>
      </rPr>
      <t xml:space="preserve"> trong kế hoạch</t>
    </r>
    <r>
      <rPr>
        <sz val="14"/>
        <color theme="1" tint="0.24994659260841701"/>
        <rFont val="Times New Roman"/>
        <charset val="134"/>
      </rPr>
      <t xml:space="preserve">
Chưa hoàn thành</t>
    </r>
  </si>
  <si>
    <r>
      <rPr>
        <sz val="14"/>
        <rFont val="Times New Roman"/>
        <charset val="134"/>
      </rPr>
      <t>Khối lượng</t>
    </r>
    <r>
      <rPr>
        <sz val="14"/>
        <color rgb="FF00B050"/>
        <rFont val="Times New Roman"/>
        <charset val="134"/>
      </rPr>
      <t xml:space="preserve"> trong kế hoạch</t>
    </r>
    <r>
      <rPr>
        <sz val="14"/>
        <rFont val="Times New Roman"/>
        <charset val="134"/>
      </rPr>
      <t xml:space="preserve">
Đã hoàn thành </t>
    </r>
  </si>
  <si>
    <r>
      <rPr>
        <sz val="14"/>
        <color theme="1" tint="0.24994659260841701"/>
        <rFont val="Times New Roman"/>
        <charset val="134"/>
      </rPr>
      <t>Khối lượng</t>
    </r>
    <r>
      <rPr>
        <sz val="14"/>
        <color rgb="FFFF0000"/>
        <rFont val="Times New Roman"/>
        <charset val="134"/>
      </rPr>
      <t xml:space="preserve"> trễ kế hoạch</t>
    </r>
    <r>
      <rPr>
        <sz val="14"/>
        <color theme="1" tint="0.24994659260841701"/>
        <rFont val="Times New Roman"/>
        <charset val="134"/>
      </rPr>
      <t xml:space="preserve">
Chưa hoàn thành</t>
    </r>
  </si>
  <si>
    <r>
      <rPr>
        <sz val="14"/>
        <color theme="1" tint="0.24994659260841701"/>
        <rFont val="Times New Roman"/>
        <charset val="134"/>
      </rPr>
      <t xml:space="preserve">Khối lượng </t>
    </r>
    <r>
      <rPr>
        <sz val="14"/>
        <color rgb="FFFF0000"/>
        <rFont val="Times New Roman"/>
        <charset val="134"/>
      </rPr>
      <t>trễ kế hoạch</t>
    </r>
    <r>
      <rPr>
        <sz val="14"/>
        <color theme="1" tint="0.24994659260841701"/>
        <rFont val="Times New Roman"/>
        <charset val="134"/>
      </rPr>
      <t xml:space="preserve">
Đã hoàn thành </t>
    </r>
  </si>
  <si>
    <t>MÃ NHÀ MÁY</t>
  </si>
  <si>
    <t>CHI TIẾT</t>
  </si>
  <si>
    <t>ĐVT</t>
  </si>
  <si>
    <t>SL</t>
  </si>
  <si>
    <t>Kéo dài</t>
  </si>
  <si>
    <t>Khối lượng kế hoạch</t>
  </si>
  <si>
    <t>Khối lượng thực tế</t>
  </si>
  <si>
    <t>JUICE BAR DETAIL_SPA-SERENIA</t>
  </si>
  <si>
    <t>PC</t>
  </si>
  <si>
    <t>ĐỢI QUI TRÌNH</t>
  </si>
  <si>
    <t>PEDESTAL TABLE 850X570X650_FIVEKEYS</t>
  </si>
  <si>
    <t>BUFFET 3D 08_ONOMO ABUJA</t>
  </si>
  <si>
    <t>BAN BEN TRON_MR-2504_3BR-PK_CT23-012</t>
  </si>
  <si>
    <t>SET</t>
  </si>
  <si>
    <t>BAN CAFE TRON_MR-2502_3BR-PK_CT23-012</t>
  </si>
  <si>
    <t>NIGHTSTAND 1_MR-2508_3BR-MASTER_CT23-012</t>
  </si>
  <si>
    <t>CLOAK STAND_MR-2517_3BR-MASTER_CT23-012</t>
  </si>
  <si>
    <t>COFFEE TABLE MEZ_IF-402_BAR_DORSETT</t>
  </si>
  <si>
    <t>SIDE BOARD MEZ_IF-403_BAR_DORSETT</t>
  </si>
  <si>
    <t>DRINKS TABLE_IF-603_LB_DORSETT</t>
  </si>
  <si>
    <t>TABLE A MEZ_IF-400_BAR_DORSETT</t>
  </si>
  <si>
    <t>SOFA L_MR-1021_STUDIO_CT23-012</t>
  </si>
  <si>
    <t>K.GUONG-M.BATHROOM_625X80_ST1_CT23-012</t>
  </si>
  <si>
    <t>GUONG-WC_S.ST-1A-2B_CT22-033</t>
  </si>
  <si>
    <t>GUONG-WC 1_3BR_1-2B_CT22-033</t>
  </si>
  <si>
    <t>GUONG-WC MASTER_3BR_1-2B_CT22-033</t>
  </si>
  <si>
    <t>GUONG VANITY_1BR.1-2B_CT22-033</t>
  </si>
  <si>
    <t>GUONG VANITY_1BR.1A-2B_CT22-033</t>
  </si>
  <si>
    <t>GUONG VANITY_1BR.2-2B_CT22-033</t>
  </si>
  <si>
    <t>GUONG-WC 1_2BR.2-2B_CT22-033</t>
  </si>
  <si>
    <t>GUONG-WC MASTER_2BR.2-2B_CT22-033</t>
  </si>
  <si>
    <t>GUONG-WC 1_2BR.1A-2B_CT22-033</t>
  </si>
  <si>
    <t>GUONG-WC MASTER_2BR.1A-2B_CT22-033</t>
  </si>
  <si>
    <t>DD-TABLE MF-G-2-GYM_CT19-071</t>
  </si>
  <si>
    <t>KE TIVI_STUDIO_CT23-012</t>
  </si>
  <si>
    <t>GUONG TT-PN GIUONG DOI+PN1_3BR_CT23-012</t>
  </si>
  <si>
    <t>GUONG-PN MASTER_3BR_CT23-012</t>
  </si>
  <si>
    <t>GUONG-WC_465X300X1460_KING_CT23-012</t>
  </si>
  <si>
    <t>TU QUAN AO-PN2_UP-8C-DUP_CT22-028</t>
  </si>
  <si>
    <t>TU QUAN AO-PN3_UP-8C-DUP_CT22-028</t>
  </si>
  <si>
    <t>TU BEP THAP_STUDIO_CT23-012</t>
  </si>
  <si>
    <t>TU TTRI_SHC+THO_CT23-038</t>
  </si>
  <si>
    <t>VACH DA_P.NGU2+WC_CT23-038</t>
  </si>
  <si>
    <t>M2</t>
  </si>
  <si>
    <t>SWING DOOR_TD-2_TWIN-3BR_CT20-027</t>
  </si>
  <si>
    <t>KHUNG GUONG_KID CLUB_CT19-071</t>
  </si>
  <si>
    <t>HE TU-LIBRETTO_LO+CI_CT22-028</t>
  </si>
  <si>
    <t>BAN T.DIEM_BF-01A_S.SAN KHAU_CT22-008</t>
  </si>
  <si>
    <t>BAN T.DIEM_BF-01B_S.SAN KHAU_CT22-008</t>
  </si>
  <si>
    <t>BAN T.DIEM_BF-01C_S.SAN KHAU_CT22-008</t>
  </si>
  <si>
    <t>BAN T.DIEM_BF-01D_S.SAN KHAU_CT22-008</t>
  </si>
  <si>
    <t>SIDE TABLE_MR-6503_ST1_CT23-012</t>
  </si>
  <si>
    <t>VACH DG_ST1_CT23-012</t>
  </si>
  <si>
    <t>SIDE TABLE 21F_IF-704_BAR_DORSETT</t>
  </si>
  <si>
    <t>OUTDOOR TABLE_IF-505_BAR_DORSETT</t>
  </si>
  <si>
    <t>COFFEE TABLE B_IF-303_LB_DORSETT</t>
  </si>
  <si>
    <t>DINING TABLE C_IF-706_BAR_DORSETT</t>
  </si>
  <si>
    <t>DINING TABLE B_IF-702_BAR_DORSETT</t>
  </si>
  <si>
    <t>DAO BEP_3BR_CT23-012</t>
  </si>
  <si>
    <t>TU VANITY-MASTER BATHROOM_3BR_CT23-012</t>
  </si>
  <si>
    <t>KHUNG GUONG_BF-01A_S.SAN KHAU_CT22-008</t>
  </si>
  <si>
    <t>KHUNG GUONG_BF-01C_S.SAN KHAU_CT22-008</t>
  </si>
  <si>
    <t>KHUNG GUONG_BF-01D_S.SAN KHAU_CT22-008</t>
  </si>
  <si>
    <t>STUDY DESK_MR-2506_3BR-PN1_CT23-012</t>
  </si>
  <si>
    <t>STUDY DESK_MR-2506_3BR-MASTER_CT23-012</t>
  </si>
  <si>
    <t>GUONG TREO ACC-19_BRI-BR_CT20-107</t>
  </si>
  <si>
    <t>CUA D38-NGACH DA ST-2_WC FEMALE_CT23-028</t>
  </si>
  <si>
    <t>M</t>
  </si>
  <si>
    <t>VANITY COUNTER 01_FEMALE LOCKER_CT23-028</t>
  </si>
  <si>
    <t>VANITY COUNTER _FEMALE TOILET_CT23-028</t>
  </si>
  <si>
    <t>VANITY COUNTER MALE LOCKER_CT23-028</t>
  </si>
  <si>
    <t>VANITY COUNTER MALE TOILET_CT23-028</t>
  </si>
  <si>
    <t>KG VANITY COUNTER TOILET 04_CT23-028</t>
  </si>
  <si>
    <t>NGACH CUA R260MM - ST-2_CT23-028</t>
  </si>
  <si>
    <t>VANITY COUNTER VA2 1440X600X450_CT23-028</t>
  </si>
  <si>
    <t>VANITY COUNTER VA1 1470X600X200_CT23-028</t>
  </si>
  <si>
    <t>NGACH CUA DA ST-2 R130MM_CT23-028</t>
  </si>
  <si>
    <t>NAP CHE KET NUOC 1270X200MM_CT23-028</t>
  </si>
  <si>
    <t>RECTANGULA DNTB_VR-201A_VN REST_CT22-132</t>
  </si>
  <si>
    <t>MI-2 800MMX55MM_CT23-028</t>
  </si>
  <si>
    <t>MI-1 600MMX55MM_CT23-028</t>
  </si>
  <si>
    <t>CONSOLE_LB-215_L3_LOBBY+CHECKIN_CT24-024</t>
  </si>
  <si>
    <t>COFFEE TABLE_CG-19_BEDROOM2_CT24-019</t>
  </si>
  <si>
    <t>KHUNG GUONG_BF-01B_S.SAN KHAU_CT22-008</t>
  </si>
  <si>
    <t>CANTEEN KITCHENETTE-F J04_ONOMO-ABUJA</t>
  </si>
  <si>
    <t>RW-SAN DA_ST-01.2_FH_CT23-026</t>
  </si>
  <si>
    <t>CONSOLE TABLE_IF-509_BAR_DORSETT</t>
  </si>
  <si>
    <t>HE BAN THAY TA DC-01_CT23-028</t>
  </si>
  <si>
    <t>GUONG-WC_S.ST-5-2C_CT22-033</t>
  </si>
  <si>
    <t>KHUNG KINH_UP-8C-DUP_CT22-028</t>
  </si>
  <si>
    <t>SAN LAT DA 1_ST-01+02_BASE1-2B_CT22-033</t>
  </si>
  <si>
    <t>SAN LAT DA 2_ST-01+02_BASE1-2B_CT22-033</t>
  </si>
  <si>
    <t>SAN LAT DA ST-02_BASE1-2B_CT22-033</t>
  </si>
  <si>
    <t>TUONG OP DA ST-02_BASE1-2B_CT22-033</t>
  </si>
  <si>
    <t>TRAN OP DA ST-02_BASE1-2B_CT22-033</t>
  </si>
  <si>
    <t>SAN LAT DA 2_ST-01+02_BASE2-2B_CT22-033</t>
  </si>
  <si>
    <t>SAN LAT DA ST-02_BASE2-2B_CT22-033</t>
  </si>
  <si>
    <t>TUONG OP DA ST-02_BASE2-2B_CT22-033</t>
  </si>
  <si>
    <t>TRAN OP DA ST-02_BASE2-2B_CT22-033</t>
  </si>
  <si>
    <t>SAN LAT DA 2_ST-01+02_BASE3-2B_CT22-033</t>
  </si>
  <si>
    <t>SAN LAT DA ST-02_BASE3-2B_CT22-033</t>
  </si>
  <si>
    <t>TUONG OP DA ST-02_BASE3-2B_CT22-033</t>
  </si>
  <si>
    <t>TRAN OP DA ST-02_BASE3-2B_CT22-033</t>
  </si>
  <si>
    <t>SAN DA ST-01+02_LIFT CAR 1-2B_CT22-033</t>
  </si>
  <si>
    <t>SAN DA ST-01+02_LIFT CAR 2-2B_CT22-033</t>
  </si>
  <si>
    <t>SAN LAT DA ST-01+02_BASE1+2-2C_CT22-033</t>
  </si>
  <si>
    <t>SAN LAT DA ST-02_BASE1+2-2C_CT22-033</t>
  </si>
  <si>
    <t>TUONG OP DA ST-02_BASE1+2-2C_CT22-033</t>
  </si>
  <si>
    <t>TRAN OP DA ST-02_BASE1+2-2C_CT22-033</t>
  </si>
  <si>
    <t>SAN LAT DA ST-01+02_BASE3-2C_CT22-033</t>
  </si>
  <si>
    <t>SAN LAT DA ST-02_BASE3-2C_CT22-033</t>
  </si>
  <si>
    <t>TUONG OP DA ST-02_BASE3-2C_CT22-033</t>
  </si>
  <si>
    <t>TRAN OP DA ST-02_BASE3-2C_CT22-033</t>
  </si>
  <si>
    <t>SAN DA ST-01+02_LIFT CAR 1-2C_CT22-033</t>
  </si>
  <si>
    <t>SAN DA ST-01+02_LIFT CAR 2-2C_CT22-033</t>
  </si>
  <si>
    <t>DINING TABLE C_IF-503_BAR_DORSETT</t>
  </si>
  <si>
    <t>GUONG-WC MASTER_3BR-5-2C_CT22-033</t>
  </si>
  <si>
    <t>GUONG-WC 1_3BR-7-2C_CT22-033</t>
  </si>
  <si>
    <t>GUONG-WC 1_3BR_2-2B_CT22-033</t>
  </si>
  <si>
    <t>GUONG-WC 1_3BR_5-2B_CT22-033</t>
  </si>
  <si>
    <t>GUONG-WC MASTER_3BR_5-2B_CT22-033</t>
  </si>
  <si>
    <t>CABINET_C1-B10A_CT23-018</t>
  </si>
  <si>
    <t>CABINET_C1-B10B_CT23-018</t>
  </si>
  <si>
    <t>DINING TABLE B_IF-502_BAR_DORSETT</t>
  </si>
  <si>
    <t>DINING TABLE A_IF-501_BAR_DORSETT</t>
  </si>
  <si>
    <t>BUFFET-STEEL FRAME 1.4_PU_ONOMO ABUJA</t>
  </si>
  <si>
    <t>KE XA PHONG-BATHR1_LOW-8C-DUP_CT22-028</t>
  </si>
  <si>
    <t>VACH KINH CL-P.TAM_LOW-8C-DUP_CT22-028</t>
  </si>
  <si>
    <t>KE XA PHONG-BATHR 2+M_UP-8C-DUP_CT22-028</t>
  </si>
  <si>
    <t>HE GUONG VANITY-WC2_UP-8C-DUP_CT22-028</t>
  </si>
  <si>
    <t>BENCH-P.TAM WC3_UP-8C-DUP_CT22-028</t>
  </si>
  <si>
    <t>VACH KINH CL-P.TAM_UP-8C-DUP_CT22-028</t>
  </si>
  <si>
    <t>HE VANITY+KE DO WC1_LOW-2C-DUP_CT22-028</t>
  </si>
  <si>
    <t>KE XA PHONG-BATHR1_LOW-2C-DUP_CT22-028</t>
  </si>
  <si>
    <t>VACH KINH MR-01-P.GYM_UP-2C-DUP_CT22-028</t>
  </si>
  <si>
    <t>KHUNG KINH_UP-2C-DUP_CT22-028</t>
  </si>
  <si>
    <t>KE XA PHONG-BATHR 2+M_UP-2C-DUP_CT22-028</t>
  </si>
  <si>
    <t>HE VANITY+KE DO-WC2_UP-2C-DUP_CT22-028</t>
  </si>
  <si>
    <t>HE VANITY+KE DO-WC3_UP-2C-DUP_CT22-028</t>
  </si>
  <si>
    <t>VACH KINH CL-P.TAM_UP-2C-DUP_CT22-028</t>
  </si>
  <si>
    <t>OUTDOOR NS COFFEE TABLES_IF-506_DORSETT</t>
  </si>
  <si>
    <t>LOUNGE TABLE_TA-8_CT24-060</t>
  </si>
  <si>
    <t>SERVICE CONSOLE_L-1_CT24-060</t>
  </si>
  <si>
    <t>HE GUONG VANITY-WC2_UP-2C-DUP_CT22-028</t>
  </si>
  <si>
    <t>HE GUONG VANITY-WC3_UP-2C-DUP_CT22-028</t>
  </si>
  <si>
    <t>KE XA PHONG-BATHROOM 2+M_3BR_CT22-028</t>
  </si>
  <si>
    <t>KHUNG KINH 800X2500X12_3BR_CT22-028</t>
  </si>
  <si>
    <t>K.GUONG BAN TDIEM-PN2_3BR_CT22-028</t>
  </si>
  <si>
    <t>KHUNG GUONG_BF-03_BALLROOM-T2_CT22-008</t>
  </si>
  <si>
    <t>BAN TRANG DIEM_CG-07_BRI-T2_CT22-008</t>
  </si>
  <si>
    <t>TU QUAN AO_DE_DSH_CT22-018</t>
  </si>
  <si>
    <t>KE HANH LY_DE_DSH_CT22-018</t>
  </si>
  <si>
    <t>KINH TRANG DIEM_KI_DSH_CT22-018</t>
  </si>
  <si>
    <t>VACH TIVI_DE_DSH_CT22-018</t>
  </si>
  <si>
    <t>DA OP TUONG_8C-DUP_CT22-028</t>
  </si>
  <si>
    <t>DA-TUONG CONG MAST BATHR_10C-UP_CT22-028</t>
  </si>
  <si>
    <t>LEN CHAN TUONG H75_5T-L.LB+CRD_CT22-028</t>
  </si>
  <si>
    <t>DA OP TUONG BEP_LOW-8C-DUP_CT22-028</t>
  </si>
  <si>
    <t>K.THUY-TUONG BEP 950_LOW-8C-DUP_CT22-028</t>
  </si>
  <si>
    <t>KTHUY-TUONG BEP 1255_LOW-8C-DUP_CT22-028</t>
  </si>
  <si>
    <t>DA OP TUONG BEP_LOW-2C-DUP_CT22-028</t>
  </si>
  <si>
    <t>K.THUY-TUONG BEP 950_LOW-2C-DUP_CT22-028</t>
  </si>
  <si>
    <t>KTHUY-TUONG BEP 1255_LOW-2C-DUP_CT22-028</t>
  </si>
  <si>
    <t>DA OP TUONG BEP_3BR_CT22-028</t>
  </si>
  <si>
    <t>HE VANITY+KE DO WC1_LOW-8C-DUP_CT22-028</t>
  </si>
  <si>
    <t>VANITY_RO.FF.19A_T+D+L_CT23-005</t>
  </si>
  <si>
    <t>VANITY_RO.FF.19B_T+D+L_CT23-005</t>
  </si>
  <si>
    <t>TU VANITY-POWDER ROOM_3BR_CT23-012</t>
  </si>
  <si>
    <t>TU VANITY-BATHROOM_3BR_CT23-012</t>
  </si>
  <si>
    <t>TU BEP THAP_3BR_CT23-012</t>
  </si>
  <si>
    <t>KE HANH LY_ST1_CT23-012</t>
  </si>
  <si>
    <t>MINIBAR_ST1_CT23-012</t>
  </si>
  <si>
    <t>COFFEE TABLE_MR-6502_ST1_CT23-012</t>
  </si>
  <si>
    <t>DRESSER TABLE_MR-6504_ST1_CT23-012</t>
  </si>
  <si>
    <t>VANITY CONSOLE_MR-6505_ST1_CT23-012</t>
  </si>
  <si>
    <t>KHAY XA PHONG_ST1_CT23-012</t>
  </si>
  <si>
    <t>ACCENT NIGHTSTAND_MR-6508_ST1_CT23-012</t>
  </si>
  <si>
    <t>KE HANH LY_KING_CT23-012</t>
  </si>
  <si>
    <t>MINIBAR_KING_CT23-012</t>
  </si>
  <si>
    <t>TU VANITY+KE KHAN_STUDIO_CT23-012</t>
  </si>
  <si>
    <t>U SHAPE BAR COUNTER_A1-B01_CT23-018</t>
  </si>
  <si>
    <t>DESK COUNTER D1-B05 3700X550_CT23-018</t>
  </si>
  <si>
    <t>A-VE01-WALNUT VENEER, THK 4MM_CT23-018</t>
  </si>
  <si>
    <t>VANITY _A1-BW01_CT23-018</t>
  </si>
  <si>
    <t>COLUMN SEATING_RB-BL-04_CT23-026</t>
  </si>
  <si>
    <t>SAN DA MIX_PT6_CT23-026</t>
  </si>
  <si>
    <t>SAN DA MIX_FH_CT23-026</t>
  </si>
  <si>
    <t>SAN DA MIX_PT_CT23-026</t>
  </si>
  <si>
    <t>STONE COPPING_W150MM_PT6_CT23-026</t>
  </si>
  <si>
    <t>VACH TTRI_MT1+GL9_S.THANG-T4_CT23-038</t>
  </si>
  <si>
    <t>KE RUA TAY_P.TAM_CT23-054</t>
  </si>
  <si>
    <t>BAN AN TRON_MR-2501_3BR-P.AN_CT23-012</t>
  </si>
  <si>
    <t>HE TU PANTRY PA1)CT23-028</t>
  </si>
  <si>
    <t>HIGHT TABLE 1820X890X900_CT23-028</t>
  </si>
  <si>
    <t>Hệ</t>
  </si>
  <si>
    <t>KE DE DO_KI_ADA_CT22-018</t>
  </si>
  <si>
    <t>COFFEE TABLE TB-5 MT-101_CT23-028</t>
  </si>
  <si>
    <t>COFFEE TABLE TB-6 MT-101_CT23-028</t>
  </si>
  <si>
    <t>TABLE B MEZ_IF-401_BAR_DORSETT</t>
  </si>
  <si>
    <t>HE VANITY+KE DO-WC2_UP-8C-DUP_CT22-028</t>
  </si>
  <si>
    <t>HE VANITY+KE DE DO-POWDER_3BR_CT22-028</t>
  </si>
  <si>
    <t>HE VANITY+KE DE DO-WC1_3BR_CT22-028</t>
  </si>
  <si>
    <t>HE VANITY+KE DO-WC3_UP-8C-DUP_CT22-028</t>
  </si>
  <si>
    <t>BAN BEN P.SHC_CG-302_UP-BT_CT22-028</t>
  </si>
  <si>
    <t>BAN CAO_BR-202_L3_BALLROOM_CT24-024</t>
  </si>
  <si>
    <t>BAN T.DIEM-P.THAY DO MASTER_T2_CT24-043</t>
  </si>
  <si>
    <t>BAN T.DIEM-PN CON GAI_1650X130_CT24-043</t>
  </si>
  <si>
    <t>TU THAP-BAR-C.DUY_AKA</t>
  </si>
  <si>
    <t>VANITY-MASTER BATHROOM_3BR_CT22-028</t>
  </si>
  <si>
    <t>VANITY-MASTER BATHR_UP-2C-DUP_CT22-028</t>
  </si>
  <si>
    <t>NỘI DUNG CÔNG VIỆC</t>
  </si>
  <si>
    <t>Ngày hoàn thành</t>
  </si>
  <si>
    <t>Ngày bắt đầu</t>
  </si>
  <si>
    <t>Tỷ lệ hoàn thành</t>
  </si>
  <si>
    <t>Số mét dài (m)</t>
  </si>
  <si>
    <t>Chọn máy (Được chọn nhiều)</t>
  </si>
  <si>
    <t>Hệ thống (truy xuất)</t>
  </si>
  <si>
    <t>Hệ thống (tự sinh)</t>
  </si>
  <si>
    <t>Chọn (Từ cột A2)</t>
  </si>
  <si>
    <t>Hệ thống (Tính toán)</t>
  </si>
  <si>
    <t>Kích thước DxR (mm)</t>
  </si>
  <si>
    <t>Deadline giao hàng</t>
  </si>
  <si>
    <t>Số lượng kế hoạch</t>
  </si>
  <si>
    <t>Số lượng (Cái)</t>
  </si>
  <si>
    <t>Thời lượng cut to size</t>
  </si>
  <si>
    <t>Thời lượng vát 45</t>
  </si>
  <si>
    <t>Thời lượng chạy CMS</t>
  </si>
  <si>
    <t>Tổng 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</si>
</sst>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;@"/>
    <numFmt numFmtId="166" formatCode="#,##0.0"/>
    <numFmt numFmtId="167" formatCode="0.0%"/>
  </numFmts>
  <fonts count="56">
    <font>
      <sz val="11"/>
      <color theme="1"/>
      <name val="Calibri"/>
      <charset val="134"/>
      <scheme val="minor"/>
    </font>
    <font>
      <sz val="11"/>
      <color theme="1" tint="0.24994659260841701"/>
      <name val="Times New Roman"/>
      <charset val="134"/>
    </font>
    <font>
      <b/>
      <sz val="13"/>
      <name val="Times New Roman"/>
      <charset val="134"/>
    </font>
    <font>
      <sz val="13"/>
      <color theme="7"/>
      <name val="Times New Roman"/>
      <charset val="134"/>
    </font>
    <font>
      <b/>
      <sz val="30"/>
      <name val="Times New Roman"/>
      <charset val="134"/>
    </font>
    <font>
      <i/>
      <sz val="11"/>
      <name val="Times New Roman"/>
      <charset val="134"/>
    </font>
    <font>
      <b/>
      <sz val="26"/>
      <name val="Times New Roman"/>
      <charset val="134"/>
    </font>
    <font>
      <b/>
      <sz val="13"/>
      <color theme="1" tint="0.24994659260841701"/>
      <name val="Times New Roman"/>
      <charset val="134"/>
    </font>
    <font>
      <sz val="13"/>
      <color theme="1" tint="0.24994659260841701"/>
      <name val="Times New Roman"/>
      <charset val="134"/>
    </font>
    <font>
      <sz val="12"/>
      <name val="Times New Roman"/>
      <charset val="134"/>
    </font>
    <font>
      <sz val="12"/>
      <color theme="1" tint="0.24994659260841701"/>
      <name val="Times New Roman"/>
      <charset val="134"/>
    </font>
    <font>
      <b/>
      <sz val="11"/>
      <color theme="1" tint="0.34998626667073579"/>
      <name val="Times New Roman"/>
      <charset val="134"/>
    </font>
    <font>
      <sz val="11"/>
      <color theme="1"/>
      <name val="Times New Roman"/>
      <charset val="134"/>
    </font>
    <font>
      <sz val="14"/>
      <color theme="1" tint="0.24994659260841701"/>
      <name val="Times New Roman"/>
      <charset val="134"/>
    </font>
    <font>
      <sz val="14"/>
      <name val="Times New Roman"/>
      <charset val="134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rgb="FFFF0000"/>
      <name val="Times New Roman"/>
      <charset val="134"/>
    </font>
    <font>
      <b/>
      <sz val="16"/>
      <color rgb="FFFF0000"/>
      <name val="Times New Roman"/>
      <charset val="134"/>
    </font>
    <font>
      <b/>
      <sz val="11"/>
      <color rgb="FFFF0000"/>
      <name val="Times New Roman"/>
      <charset val="134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22"/>
      <name val="Times New Roman"/>
      <charset val="134"/>
    </font>
    <font>
      <sz val="11"/>
      <color theme="1"/>
      <name val="Calibri"/>
      <charset val="163"/>
      <scheme val="minor"/>
    </font>
    <font>
      <sz val="1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1" tint="0.24994659260841701"/>
      <name val="Calibri Light"/>
      <charset val="134"/>
      <scheme val="major"/>
    </font>
    <font>
      <b/>
      <sz val="13"/>
      <color theme="1" tint="0.24994659260841701"/>
      <name val="Calibri Light"/>
      <charset val="134"/>
      <scheme val="major"/>
    </font>
    <font>
      <sz val="10"/>
      <color rgb="FF000000"/>
      <name val="Calibri"/>
      <charset val="134"/>
      <scheme val="minor"/>
    </font>
    <font>
      <i/>
      <sz val="11"/>
      <color theme="7"/>
      <name val="Calibri"/>
      <charset val="134"/>
      <scheme val="minor"/>
    </font>
    <font>
      <b/>
      <sz val="42"/>
      <color theme="7"/>
      <name val="Calibri Light"/>
      <charset val="134"/>
      <scheme val="major"/>
    </font>
    <font>
      <b/>
      <sz val="11"/>
      <color theme="1" tint="0.34998626667073579"/>
      <name val="Calibri"/>
      <charset val="134"/>
      <scheme val="minor"/>
    </font>
    <font>
      <sz val="14"/>
      <color theme="1" tint="0.2499465926084170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.VnTime"/>
      <charset val="134"/>
    </font>
    <font>
      <b/>
      <sz val="13"/>
      <color theme="7"/>
      <name val="Calibri Light"/>
      <charset val="134"/>
      <scheme val="major"/>
    </font>
    <font>
      <b/>
      <sz val="11"/>
      <color theme="1" tint="0.24994659260841701"/>
      <name val="Calibri"/>
      <charset val="134"/>
      <scheme val="minor"/>
    </font>
    <font>
      <sz val="12"/>
      <color theme="1" tint="0.24994659260841701"/>
      <name val="Calibri Light"/>
      <charset val="134"/>
      <scheme val="major"/>
    </font>
    <font>
      <b/>
      <sz val="16"/>
      <color theme="8"/>
      <name val="Times New Roman"/>
      <charset val="134"/>
    </font>
    <font>
      <b/>
      <sz val="16"/>
      <name val="Times New Roman"/>
      <charset val="134"/>
    </font>
    <font>
      <sz val="14"/>
      <color rgb="FFFF0000"/>
      <name val="Times New Roman"/>
      <charset val="134"/>
    </font>
    <font>
      <sz val="14"/>
      <color rgb="FF00B050"/>
      <name val="Times New Roman"/>
      <charset val="134"/>
    </font>
    <font>
      <b/>
      <sz val="11"/>
      <color rgb="FF00B050"/>
      <name val="Calibri"/>
      <charset val="134"/>
      <scheme val="minor"/>
    </font>
    <font>
      <b/>
      <sz val="16"/>
      <color theme="4"/>
      <name val="Times New Roman"/>
      <charset val="134"/>
    </font>
    <font>
      <b/>
      <sz val="30"/>
      <color rgb="FFFF0000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lightGray">
        <fgColor theme="1"/>
      </patternFill>
    </fill>
    <fill>
      <patternFill patternType="gray125">
        <fgColor rgb="FF00B050"/>
        <bgColor theme="0"/>
      </patternFill>
    </fill>
    <fill>
      <patternFill patternType="solid">
        <fgColor theme="0"/>
        <bgColor rgb="FFFF0000"/>
      </patternFill>
    </fill>
    <fill>
      <patternFill patternType="gray125">
        <fgColor rgb="FFFF000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Grid">
        <fgColor rgb="FF7030A0"/>
      </patternFill>
    </fill>
    <fill>
      <patternFill patternType="solid">
        <fgColor rgb="FF00B0F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lightUp">
        <fgColor theme="7"/>
        <bgColor theme="9" tint="0.59996337778862885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9" tint="0.59996337778862885"/>
        <bgColor indexed="64"/>
      </patternFill>
    </fill>
    <fill>
      <patternFill patternType="lightUp">
        <fgColor theme="7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</borders>
  <cellStyleXfs count="26">
    <xf numFmtId="0" fontId="0" fillId="0" borderId="0"/>
    <xf numFmtId="9" fontId="34" fillId="0" borderId="0" applyFont="0" applyFill="0" applyBorder="0" applyAlignment="0" applyProtection="0"/>
    <xf numFmtId="0" fontId="35" fillId="20" borderId="10" applyNumberFormat="0" applyFont="0" applyAlignment="0">
      <alignment horizontal="center"/>
    </xf>
    <xf numFmtId="0" fontId="35" fillId="12" borderId="10" applyNumberFormat="0" applyFont="0" applyAlignment="0">
      <alignment horizontal="center"/>
    </xf>
    <xf numFmtId="0" fontId="36" fillId="0" borderId="0" applyFill="0" applyBorder="0" applyProtection="0">
      <alignment horizontal="left" wrapText="1"/>
    </xf>
    <xf numFmtId="0" fontId="35" fillId="21" borderId="10" applyNumberFormat="0" applyFont="0" applyAlignment="0">
      <alignment horizontal="center"/>
    </xf>
    <xf numFmtId="0" fontId="35" fillId="22" borderId="10" applyNumberFormat="0" applyFont="0" applyAlignment="0">
      <alignment horizontal="center"/>
    </xf>
    <xf numFmtId="164" fontId="37" fillId="0" borderId="0" applyFont="0" applyFill="0" applyBorder="0" applyAlignment="0" applyProtection="0"/>
    <xf numFmtId="0" fontId="38" fillId="0" borderId="0" applyNumberFormat="0" applyFill="0" applyBorder="0" applyProtection="0">
      <alignment vertical="center"/>
    </xf>
    <xf numFmtId="0" fontId="39" fillId="0" borderId="0" applyNumberFormat="0" applyFill="0" applyBorder="0" applyAlignment="0" applyProtection="0"/>
    <xf numFmtId="0" fontId="40" fillId="0" borderId="0" applyFill="0" applyProtection="0">
      <alignment vertical="center"/>
    </xf>
    <xf numFmtId="0" fontId="40" fillId="0" borderId="0" applyFill="0" applyProtection="0">
      <alignment horizontal="center" vertical="center" wrapText="1"/>
    </xf>
    <xf numFmtId="0" fontId="40" fillId="0" borderId="0" applyFill="0" applyProtection="0">
      <alignment horizontal="left"/>
    </xf>
    <xf numFmtId="0" fontId="41" fillId="0" borderId="0" applyNumberFormat="0" applyFill="0" applyBorder="0" applyProtection="0">
      <alignment horizontal="left" vertical="center"/>
    </xf>
    <xf numFmtId="0" fontId="42" fillId="0" borderId="0"/>
    <xf numFmtId="0" fontId="35" fillId="0" borderId="0" applyNumberFormat="0" applyFill="0" applyBorder="0" applyProtection="0">
      <alignment horizontal="center" vertical="center"/>
    </xf>
    <xf numFmtId="0" fontId="43" fillId="0" borderId="0"/>
    <xf numFmtId="0" fontId="37" fillId="0" borderId="0"/>
    <xf numFmtId="0" fontId="30" fillId="0" borderId="0"/>
    <xf numFmtId="9" fontId="44" fillId="0" borderId="0" applyFill="0" applyBorder="0" applyProtection="0">
      <alignment horizontal="center" vertical="center"/>
    </xf>
    <xf numFmtId="3" fontId="40" fillId="0" borderId="7" applyFill="0" applyProtection="0">
      <alignment horizontal="center"/>
    </xf>
    <xf numFmtId="0" fontId="45" fillId="23" borderId="54" applyNumberFormat="0" applyProtection="0">
      <alignment horizontal="left" vertical="center"/>
    </xf>
    <xf numFmtId="1" fontId="46" fillId="23" borderId="54">
      <alignment horizontal="center" vertical="center"/>
    </xf>
    <xf numFmtId="0" fontId="35" fillId="24" borderId="8" applyNumberFormat="0" applyFont="0" applyAlignment="0">
      <alignment horizontal="center"/>
    </xf>
    <xf numFmtId="0" fontId="40" fillId="0" borderId="0" applyFill="0" applyBorder="0" applyProtection="0">
      <alignment horizontal="center" wrapText="1"/>
    </xf>
    <xf numFmtId="0" fontId="39" fillId="0" borderId="0" applyNumberFormat="0" applyFill="0" applyBorder="0" applyProtection="0">
      <alignment vertical="center"/>
    </xf>
  </cellStyleXfs>
  <cellXfs count="317">
    <xf numFmtId="0" fontId="0" fillId="0" borderId="0" xfId="0"/>
    <xf numFmtId="0" fontId="1" fillId="0" borderId="0" xfId="15" applyFont="1" applyAlignment="1">
      <alignment vertical="center" wrapText="1"/>
    </xf>
    <xf numFmtId="0" fontId="1" fillId="0" borderId="0" xfId="15" applyFont="1">
      <alignment horizontal="center" vertical="center"/>
    </xf>
    <xf numFmtId="1" fontId="1" fillId="0" borderId="0" xfId="15" applyNumberFormat="1" applyFont="1">
      <alignment horizontal="center" vertical="center"/>
    </xf>
    <xf numFmtId="1" fontId="1" fillId="0" borderId="0" xfId="15" applyNumberFormat="1" applyFont="1" applyAlignment="1">
      <alignment horizontal="left" vertical="center"/>
    </xf>
    <xf numFmtId="0" fontId="2" fillId="0" borderId="0" xfId="4" applyFont="1">
      <alignment horizontal="left" wrapText="1"/>
    </xf>
    <xf numFmtId="0" fontId="1" fillId="0" borderId="0" xfId="15" applyFont="1" applyAlignment="1">
      <alignment horizontal="center"/>
    </xf>
    <xf numFmtId="165" fontId="1" fillId="0" borderId="0" xfId="15" applyNumberFormat="1" applyFont="1" applyAlignment="1">
      <alignment horizontal="center"/>
    </xf>
    <xf numFmtId="9" fontId="3" fillId="0" borderId="0" xfId="19" applyFont="1">
      <alignment horizontal="center" vertical="center"/>
    </xf>
    <xf numFmtId="0" fontId="5" fillId="0" borderId="0" xfId="8" applyFont="1">
      <alignment vertical="center"/>
    </xf>
    <xf numFmtId="0" fontId="1" fillId="0" borderId="4" xfId="15" applyFont="1" applyBorder="1">
      <alignment horizontal="center" vertical="center"/>
    </xf>
    <xf numFmtId="1" fontId="8" fillId="0" borderId="4" xfId="15" applyNumberFormat="1" applyFont="1" applyBorder="1">
      <alignment horizontal="center" vertical="center"/>
    </xf>
    <xf numFmtId="1" fontId="8" fillId="0" borderId="4" xfId="15" applyNumberFormat="1" applyFont="1" applyBorder="1" applyAlignment="1">
      <alignment horizontal="left" vertical="center"/>
    </xf>
    <xf numFmtId="0" fontId="9" fillId="0" borderId="4" xfId="4" applyFont="1" applyBorder="1" applyAlignment="1">
      <alignment horizontal="center" vertical="center" wrapText="1"/>
    </xf>
    <xf numFmtId="165" fontId="9" fillId="0" borderId="4" xfId="15" applyNumberFormat="1" applyFont="1" applyBorder="1">
      <alignment horizontal="center" vertical="center"/>
    </xf>
    <xf numFmtId="0" fontId="9" fillId="0" borderId="4" xfId="15" applyFont="1" applyBorder="1">
      <alignment horizontal="center" vertical="center"/>
    </xf>
    <xf numFmtId="0" fontId="6" fillId="3" borderId="0" xfId="8" applyFont="1" applyFill="1" applyBorder="1" applyAlignment="1">
      <alignment horizontal="center" vertical="center"/>
    </xf>
    <xf numFmtId="0" fontId="1" fillId="0" borderId="0" xfId="21" applyFont="1" applyFill="1" applyBorder="1" applyAlignment="1">
      <alignment horizontal="center" vertical="center"/>
    </xf>
    <xf numFmtId="1" fontId="10" fillId="0" borderId="0" xfId="22" applyFont="1" applyFill="1" applyBorder="1">
      <alignment horizontal="center" vertical="center"/>
    </xf>
    <xf numFmtId="1" fontId="9" fillId="0" borderId="4" xfId="15" applyNumberFormat="1" applyFont="1" applyBorder="1">
      <alignment horizontal="center" vertical="center"/>
    </xf>
    <xf numFmtId="1" fontId="10" fillId="0" borderId="4" xfId="15" applyNumberFormat="1" applyFont="1" applyBorder="1" applyAlignment="1">
      <alignment horizontal="center"/>
    </xf>
    <xf numFmtId="9" fontId="9" fillId="0" borderId="4" xfId="19" applyFont="1" applyBorder="1">
      <alignment horizontal="center" vertical="center"/>
    </xf>
    <xf numFmtId="165" fontId="10" fillId="0" borderId="4" xfId="15" applyNumberFormat="1" applyFont="1" applyBorder="1" applyAlignment="1">
      <alignment horizontal="center"/>
    </xf>
    <xf numFmtId="0" fontId="12" fillId="5" borderId="8" xfId="23" applyFont="1" applyFill="1" applyAlignment="1">
      <alignment horizontal="center"/>
    </xf>
    <xf numFmtId="0" fontId="10" fillId="0" borderId="0" xfId="13" applyFont="1" applyBorder="1" applyAlignment="1">
      <alignment vertical="center"/>
    </xf>
    <xf numFmtId="0" fontId="12" fillId="6" borderId="10" xfId="6" applyFont="1" applyFill="1" applyAlignment="1">
      <alignment horizontal="center"/>
    </xf>
    <xf numFmtId="0" fontId="11" fillId="0" borderId="0" xfId="24" applyFont="1">
      <alignment horizontal="center" wrapText="1"/>
    </xf>
    <xf numFmtId="0" fontId="1" fillId="0" borderId="0" xfId="15" applyFont="1" applyAlignment="1">
      <alignment horizontal="center" wrapText="1"/>
    </xf>
    <xf numFmtId="0" fontId="12" fillId="2" borderId="10" xfId="2" applyFont="1" applyFill="1" applyAlignment="1">
      <alignment horizontal="center"/>
    </xf>
    <xf numFmtId="0" fontId="12" fillId="7" borderId="10" xfId="5" applyFont="1" applyFill="1" applyAlignment="1">
      <alignment horizontal="center"/>
    </xf>
    <xf numFmtId="0" fontId="12" fillId="8" borderId="10" xfId="5" applyFont="1" applyFill="1" applyAlignment="1">
      <alignment horizontal="center"/>
    </xf>
    <xf numFmtId="0" fontId="12" fillId="0" borderId="11" xfId="13" applyFont="1" applyBorder="1" applyAlignment="1">
      <alignment vertical="center"/>
    </xf>
    <xf numFmtId="0" fontId="12" fillId="9" borderId="10" xfId="3" applyFont="1" applyFill="1" applyAlignment="1">
      <alignment horizontal="center"/>
    </xf>
    <xf numFmtId="0" fontId="12" fillId="0" borderId="0" xfId="13" applyFont="1" applyBorder="1" applyAlignment="1">
      <alignment vertical="center"/>
    </xf>
    <xf numFmtId="0" fontId="1" fillId="10" borderId="0" xfId="15" applyFont="1" applyFill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5" fillId="0" borderId="15" xfId="0" applyFont="1" applyBorder="1"/>
    <xf numFmtId="0" fontId="15" fillId="0" borderId="16" xfId="0" applyFont="1" applyBorder="1"/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/>
    </xf>
    <xf numFmtId="0" fontId="12" fillId="11" borderId="4" xfId="0" applyFont="1" applyFill="1" applyBorder="1"/>
    <xf numFmtId="0" fontId="12" fillId="0" borderId="4" xfId="0" applyFont="1" applyBorder="1"/>
    <xf numFmtId="0" fontId="16" fillId="9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8" fillId="0" borderId="0" xfId="0" applyFont="1"/>
    <xf numFmtId="0" fontId="16" fillId="0" borderId="4" xfId="0" applyFont="1" applyBorder="1" applyAlignment="1">
      <alignment horizontal="center" vertical="center" wrapText="1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21" fillId="0" borderId="4" xfId="14" applyFont="1" applyBorder="1"/>
    <xf numFmtId="0" fontId="21" fillId="0" borderId="4" xfId="14" applyFont="1" applyBorder="1" applyAlignment="1">
      <alignment horizontal="left"/>
    </xf>
    <xf numFmtId="0" fontId="16" fillId="11" borderId="4" xfId="0" applyFont="1" applyFill="1" applyBorder="1" applyAlignment="1" applyProtection="1">
      <alignment horizontal="center" vertical="center" wrapText="1"/>
      <protection locked="0"/>
    </xf>
    <xf numFmtId="0" fontId="20" fillId="11" borderId="4" xfId="0" applyFont="1" applyFill="1" applyBorder="1" applyAlignment="1" applyProtection="1">
      <alignment horizontal="center" vertical="center" wrapText="1"/>
      <protection locked="0"/>
    </xf>
    <xf numFmtId="0" fontId="22" fillId="0" borderId="4" xfId="14" applyFont="1" applyBorder="1"/>
    <xf numFmtId="0" fontId="16" fillId="13" borderId="4" xfId="0" applyFont="1" applyFill="1" applyBorder="1" applyAlignment="1">
      <alignment horizontal="center" vertical="center" wrapText="1"/>
    </xf>
    <xf numFmtId="0" fontId="21" fillId="13" borderId="4" xfId="14" applyFont="1" applyFill="1" applyBorder="1"/>
    <xf numFmtId="0" fontId="21" fillId="13" borderId="4" xfId="14" applyFont="1" applyFill="1" applyBorder="1" applyAlignment="1">
      <alignment horizontal="left"/>
    </xf>
    <xf numFmtId="0" fontId="16" fillId="13" borderId="4" xfId="0" applyFont="1" applyFill="1" applyBorder="1" applyAlignment="1" applyProtection="1">
      <alignment horizontal="center" vertical="center" wrapText="1"/>
      <protection locked="0"/>
    </xf>
    <xf numFmtId="0" fontId="20" fillId="13" borderId="4" xfId="0" applyFont="1" applyFill="1" applyBorder="1" applyAlignment="1" applyProtection="1">
      <alignment horizontal="center" vertical="center" wrapText="1"/>
      <protection locked="0"/>
    </xf>
    <xf numFmtId="0" fontId="22" fillId="13" borderId="4" xfId="14" applyFont="1" applyFill="1" applyBorder="1"/>
    <xf numFmtId="0" fontId="16" fillId="13" borderId="4" xfId="0" applyFont="1" applyFill="1" applyBorder="1" applyAlignment="1" applyProtection="1">
      <alignment horizontal="center" vertical="center"/>
      <protection locked="0"/>
    </xf>
    <xf numFmtId="0" fontId="20" fillId="13" borderId="4" xfId="0" applyFont="1" applyFill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>
      <alignment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22" fillId="0" borderId="0" xfId="14" applyFont="1" applyAlignment="1">
      <alignment horizontal="center" vertical="center"/>
    </xf>
    <xf numFmtId="0" fontId="21" fillId="0" borderId="0" xfId="14" applyFont="1" applyAlignment="1">
      <alignment horizontal="center"/>
    </xf>
    <xf numFmtId="0" fontId="21" fillId="0" borderId="0" xfId="14" applyFont="1" applyAlignment="1">
      <alignment horizontal="left"/>
    </xf>
    <xf numFmtId="0" fontId="21" fillId="0" borderId="0" xfId="14" applyFont="1"/>
    <xf numFmtId="0" fontId="23" fillId="0" borderId="0" xfId="14" applyFont="1"/>
    <xf numFmtId="0" fontId="22" fillId="0" borderId="4" xfId="14" applyFont="1" applyBorder="1" applyAlignment="1">
      <alignment horizontal="center" vertical="center"/>
    </xf>
    <xf numFmtId="0" fontId="2" fillId="0" borderId="4" xfId="14" applyFont="1" applyBorder="1" applyAlignment="1">
      <alignment horizontal="center" vertical="center"/>
    </xf>
    <xf numFmtId="0" fontId="21" fillId="0" borderId="4" xfId="14" applyFont="1" applyBorder="1" applyAlignment="1">
      <alignment horizontal="center"/>
    </xf>
    <xf numFmtId="0" fontId="23" fillId="0" borderId="4" xfId="14" applyFont="1" applyBorder="1"/>
    <xf numFmtId="0" fontId="12" fillId="11" borderId="4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/>
    <xf numFmtId="0" fontId="21" fillId="16" borderId="0" xfId="0" applyFont="1" applyFill="1"/>
    <xf numFmtId="0" fontId="21" fillId="2" borderId="0" xfId="0" applyFont="1" applyFill="1" applyAlignment="1">
      <alignment horizontal="center" vertical="center" wrapText="1"/>
    </xf>
    <xf numFmtId="0" fontId="21" fillId="9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1" fillId="0" borderId="37" xfId="0" applyFont="1" applyBorder="1"/>
    <xf numFmtId="0" fontId="21" fillId="0" borderId="4" xfId="0" applyFont="1" applyBorder="1"/>
    <xf numFmtId="0" fontId="21" fillId="0" borderId="38" xfId="0" applyFont="1" applyBorder="1"/>
    <xf numFmtId="0" fontId="21" fillId="0" borderId="39" xfId="0" applyFont="1" applyBorder="1"/>
    <xf numFmtId="0" fontId="25" fillId="16" borderId="0" xfId="0" applyFont="1" applyFill="1" applyAlignment="1">
      <alignment vertical="center"/>
    </xf>
    <xf numFmtId="0" fontId="21" fillId="16" borderId="0" xfId="0" applyFont="1" applyFill="1" applyAlignment="1">
      <alignment horizontal="center" vertical="center"/>
    </xf>
    <xf numFmtId="0" fontId="22" fillId="16" borderId="0" xfId="0" applyFont="1" applyFill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/>
    </xf>
    <xf numFmtId="0" fontId="21" fillId="0" borderId="17" xfId="0" applyFont="1" applyBorder="1"/>
    <xf numFmtId="0" fontId="21" fillId="0" borderId="42" xfId="0" applyFont="1" applyBorder="1" applyAlignment="1">
      <alignment horizontal="center" vertical="center"/>
    </xf>
    <xf numFmtId="0" fontId="21" fillId="0" borderId="42" xfId="0" applyFont="1" applyBorder="1"/>
    <xf numFmtId="0" fontId="21" fillId="0" borderId="42" xfId="0" applyFont="1" applyBorder="1" applyAlignment="1">
      <alignment vertical="center"/>
    </xf>
    <xf numFmtId="0" fontId="21" fillId="0" borderId="43" xfId="0" applyFont="1" applyBorder="1"/>
    <xf numFmtId="0" fontId="21" fillId="0" borderId="44" xfId="0" applyFont="1" applyBorder="1" applyAlignment="1">
      <alignment vertical="center"/>
    </xf>
    <xf numFmtId="0" fontId="21" fillId="0" borderId="0" xfId="0" applyFont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1" fillId="0" borderId="37" xfId="14" applyFont="1" applyBorder="1" applyAlignment="1">
      <alignment horizontal="left"/>
    </xf>
    <xf numFmtId="0" fontId="22" fillId="0" borderId="4" xfId="0" applyFont="1" applyBorder="1"/>
    <xf numFmtId="0" fontId="22" fillId="0" borderId="42" xfId="0" applyFont="1" applyBorder="1"/>
    <xf numFmtId="0" fontId="21" fillId="0" borderId="42" xfId="14" applyFont="1" applyBorder="1" applyAlignment="1">
      <alignment horizontal="left"/>
    </xf>
    <xf numFmtId="0" fontId="21" fillId="0" borderId="39" xfId="0" applyFont="1" applyBorder="1" applyAlignment="1">
      <alignment vertical="center"/>
    </xf>
    <xf numFmtId="0" fontId="21" fillId="0" borderId="44" xfId="0" applyFont="1" applyBorder="1"/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3" fontId="27" fillId="0" borderId="27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" xfId="0" applyBorder="1"/>
    <xf numFmtId="0" fontId="0" fillId="3" borderId="4" xfId="0" applyFill="1" applyBorder="1"/>
    <xf numFmtId="0" fontId="15" fillId="0" borderId="48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3" fontId="0" fillId="3" borderId="4" xfId="0" applyNumberFormat="1" applyFill="1" applyBorder="1"/>
    <xf numFmtId="0" fontId="0" fillId="0" borderId="37" xfId="0" applyBorder="1" applyAlignment="1">
      <alignment horizontal="center"/>
    </xf>
    <xf numFmtId="166" fontId="0" fillId="0" borderId="4" xfId="0" applyNumberFormat="1" applyBorder="1" applyAlignment="1">
      <alignment horizontal="center"/>
    </xf>
    <xf numFmtId="3" fontId="0" fillId="0" borderId="4" xfId="0" applyNumberFormat="1" applyBorder="1"/>
    <xf numFmtId="9" fontId="0" fillId="0" borderId="4" xfId="1" applyFont="1" applyBorder="1"/>
    <xf numFmtId="3" fontId="28" fillId="0" borderId="4" xfId="0" applyNumberFormat="1" applyFont="1" applyBorder="1"/>
    <xf numFmtId="0" fontId="0" fillId="0" borderId="38" xfId="0" applyBorder="1" applyAlignment="1">
      <alignment horizontal="center"/>
    </xf>
    <xf numFmtId="166" fontId="0" fillId="0" borderId="39" xfId="0" applyNumberFormat="1" applyBorder="1" applyAlignment="1">
      <alignment horizontal="center"/>
    </xf>
    <xf numFmtId="4" fontId="0" fillId="0" borderId="4" xfId="1" applyNumberFormat="1" applyFont="1" applyBorder="1"/>
    <xf numFmtId="0" fontId="0" fillId="18" borderId="37" xfId="0" applyFill="1" applyBorder="1" applyAlignment="1">
      <alignment horizontal="center" vertical="center"/>
    </xf>
    <xf numFmtId="0" fontId="0" fillId="18" borderId="4" xfId="0" applyFill="1" applyBorder="1"/>
    <xf numFmtId="167" fontId="0" fillId="18" borderId="4" xfId="1" applyNumberFormat="1" applyFont="1" applyFill="1" applyBorder="1"/>
    <xf numFmtId="0" fontId="0" fillId="0" borderId="35" xfId="0" applyBorder="1"/>
    <xf numFmtId="0" fontId="0" fillId="19" borderId="37" xfId="0" applyFill="1" applyBorder="1" applyAlignment="1">
      <alignment horizontal="center" vertical="center"/>
    </xf>
    <xf numFmtId="0" fontId="0" fillId="19" borderId="4" xfId="0" applyFill="1" applyBorder="1"/>
    <xf numFmtId="167" fontId="0" fillId="19" borderId="4" xfId="1" applyNumberFormat="1" applyFont="1" applyFill="1" applyBorder="1"/>
    <xf numFmtId="0" fontId="0" fillId="19" borderId="38" xfId="0" applyFill="1" applyBorder="1" applyAlignment="1">
      <alignment horizontal="center" vertical="center"/>
    </xf>
    <xf numFmtId="0" fontId="0" fillId="19" borderId="39" xfId="0" applyFill="1" applyBorder="1"/>
    <xf numFmtId="167" fontId="0" fillId="19" borderId="39" xfId="1" applyNumberFormat="1" applyFont="1" applyFill="1" applyBorder="1"/>
    <xf numFmtId="167" fontId="0" fillId="0" borderId="0" xfId="1" applyNumberFormat="1" applyFont="1"/>
    <xf numFmtId="0" fontId="0" fillId="0" borderId="0" xfId="0" applyAlignment="1">
      <alignment horizontal="center" wrapText="1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3" fontId="0" fillId="0" borderId="42" xfId="0" applyNumberFormat="1" applyBorder="1" applyAlignment="1">
      <alignment horizontal="center"/>
    </xf>
    <xf numFmtId="4" fontId="0" fillId="0" borderId="42" xfId="0" applyNumberFormat="1" applyBorder="1" applyAlignment="1">
      <alignment horizontal="center"/>
    </xf>
    <xf numFmtId="4" fontId="0" fillId="0" borderId="44" xfId="0" applyNumberFormat="1" applyBorder="1" applyAlignment="1">
      <alignment horizontal="center"/>
    </xf>
    <xf numFmtId="0" fontId="0" fillId="0" borderId="16" xfId="0" applyBorder="1"/>
    <xf numFmtId="3" fontId="27" fillId="0" borderId="0" xfId="0" applyNumberFormat="1" applyFont="1"/>
    <xf numFmtId="0" fontId="21" fillId="0" borderId="0" xfId="14" applyFont="1" applyAlignment="1">
      <alignment horizontal="center" vertical="center"/>
    </xf>
    <xf numFmtId="0" fontId="21" fillId="0" borderId="0" xfId="14" applyFont="1" applyAlignment="1">
      <alignment horizontal="center" vertical="center" wrapText="1"/>
    </xf>
    <xf numFmtId="0" fontId="2" fillId="0" borderId="4" xfId="14" applyFont="1" applyBorder="1" applyAlignment="1">
      <alignment horizontal="center" vertical="center" wrapText="1"/>
    </xf>
    <xf numFmtId="0" fontId="21" fillId="0" borderId="37" xfId="14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/>
    </xf>
    <xf numFmtId="0" fontId="23" fillId="0" borderId="4" xfId="18" applyFont="1" applyBorder="1" applyAlignment="1">
      <alignment horizontal="center" vertical="center" wrapText="1"/>
    </xf>
    <xf numFmtId="0" fontId="21" fillId="0" borderId="38" xfId="14" applyFont="1" applyBorder="1" applyAlignment="1">
      <alignment horizontal="center" vertical="center"/>
    </xf>
    <xf numFmtId="0" fontId="23" fillId="0" borderId="39" xfId="18" applyFont="1" applyBorder="1" applyAlignment="1">
      <alignment horizontal="center" vertical="center"/>
    </xf>
    <xf numFmtId="0" fontId="23" fillId="0" borderId="39" xfId="18" applyFont="1" applyBorder="1" applyAlignment="1">
      <alignment horizontal="center" vertical="center" wrapText="1"/>
    </xf>
    <xf numFmtId="0" fontId="30" fillId="0" borderId="0" xfId="18"/>
    <xf numFmtId="0" fontId="2" fillId="0" borderId="42" xfId="14" applyFont="1" applyBorder="1" applyAlignment="1">
      <alignment horizontal="center" vertical="center" wrapText="1"/>
    </xf>
    <xf numFmtId="0" fontId="23" fillId="0" borderId="42" xfId="18" applyFont="1" applyBorder="1" applyAlignment="1">
      <alignment horizontal="center" vertical="center" wrapText="1"/>
    </xf>
    <xf numFmtId="0" fontId="23" fillId="0" borderId="44" xfId="18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0" xfId="0" applyFont="1"/>
    <xf numFmtId="0" fontId="16" fillId="0" borderId="35" xfId="0" applyFont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32" fillId="2" borderId="3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/>
    <xf numFmtId="1" fontId="12" fillId="0" borderId="4" xfId="0" applyNumberFormat="1" applyFont="1" applyBorder="1" applyAlignment="1">
      <alignment horizontal="left"/>
    </xf>
    <xf numFmtId="0" fontId="16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/>
    <xf numFmtId="0" fontId="33" fillId="0" borderId="39" xfId="0" applyFont="1" applyBorder="1" applyAlignment="1">
      <alignment horizontal="center" vertical="center"/>
    </xf>
    <xf numFmtId="0" fontId="33" fillId="0" borderId="39" xfId="0" applyFont="1" applyBorder="1"/>
    <xf numFmtId="0" fontId="12" fillId="0" borderId="3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" fillId="0" borderId="3" xfId="15" applyFont="1" applyBorder="1" applyAlignment="1">
      <alignment horizontal="center" vertical="center" wrapText="1"/>
    </xf>
    <xf numFmtId="1" fontId="7" fillId="0" borderId="3" xfId="15" applyNumberFormat="1" applyFont="1" applyBorder="1" applyAlignment="1">
      <alignment horizontal="center" vertical="center" wrapText="1"/>
    </xf>
    <xf numFmtId="0" fontId="2" fillId="0" borderId="3" xfId="10" applyFont="1" applyBorder="1" applyAlignment="1">
      <alignment horizontal="center" vertical="center" wrapText="1"/>
    </xf>
    <xf numFmtId="0" fontId="2" fillId="3" borderId="3" xfId="11" applyFont="1" applyFill="1" applyBorder="1">
      <alignment horizontal="center" vertical="center" wrapText="1"/>
    </xf>
    <xf numFmtId="0" fontId="2" fillId="0" borderId="3" xfId="11" applyFont="1" applyBorder="1">
      <alignment horizontal="center" vertical="center" wrapText="1"/>
    </xf>
    <xf numFmtId="0" fontId="2" fillId="4" borderId="3" xfId="11" applyFont="1" applyFill="1" applyBorder="1">
      <alignment horizontal="center" vertical="center" wrapText="1"/>
    </xf>
    <xf numFmtId="0" fontId="25" fillId="17" borderId="0" xfId="0" applyFont="1" applyFill="1" applyAlignment="1">
      <alignment horizontal="center" vertical="center" wrapText="1"/>
    </xf>
    <xf numFmtId="0" fontId="29" fillId="0" borderId="0" xfId="18" applyFont="1" applyAlignment="1">
      <alignment horizontal="center" vertical="center" wrapText="1"/>
    </xf>
    <xf numFmtId="0" fontId="29" fillId="0" borderId="0" xfId="18" applyFont="1" applyAlignment="1">
      <alignment horizontal="center" vertical="center"/>
    </xf>
    <xf numFmtId="0" fontId="2" fillId="0" borderId="36" xfId="18" applyFont="1" applyBorder="1" applyAlignment="1">
      <alignment horizontal="center" vertical="center"/>
    </xf>
    <xf numFmtId="0" fontId="2" fillId="0" borderId="41" xfId="18" applyFont="1" applyBorder="1" applyAlignment="1">
      <alignment horizontal="center" vertical="center"/>
    </xf>
    <xf numFmtId="0" fontId="22" fillId="0" borderId="35" xfId="14" applyFont="1" applyBorder="1" applyAlignment="1">
      <alignment horizontal="center" vertical="center"/>
    </xf>
    <xf numFmtId="0" fontId="22" fillId="0" borderId="37" xfId="14" applyFont="1" applyBorder="1" applyAlignment="1">
      <alignment horizontal="center" vertical="center"/>
    </xf>
    <xf numFmtId="0" fontId="2" fillId="0" borderId="22" xfId="18" applyFont="1" applyBorder="1" applyAlignment="1">
      <alignment horizontal="center" vertical="center" wrapText="1"/>
    </xf>
    <xf numFmtId="0" fontId="2" fillId="0" borderId="5" xfId="18" applyFont="1" applyBorder="1" applyAlignment="1">
      <alignment horizontal="center" vertical="center" wrapText="1"/>
    </xf>
    <xf numFmtId="0" fontId="2" fillId="0" borderId="36" xfId="18" applyFont="1" applyBorder="1" applyAlignment="1">
      <alignment horizontal="center" vertical="center" wrapText="1"/>
    </xf>
    <xf numFmtId="0" fontId="2" fillId="0" borderId="4" xfId="18" applyFon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/>
    </xf>
    <xf numFmtId="0" fontId="26" fillId="17" borderId="12" xfId="0" applyFont="1" applyFill="1" applyBorder="1" applyAlignment="1">
      <alignment horizontal="center" vertical="center"/>
    </xf>
    <xf numFmtId="0" fontId="26" fillId="17" borderId="0" xfId="0" applyFont="1" applyFill="1" applyAlignment="1">
      <alignment horizontal="center" vertical="center"/>
    </xf>
    <xf numFmtId="0" fontId="26" fillId="17" borderId="13" xfId="0" applyFont="1" applyFill="1" applyBorder="1" applyAlignment="1">
      <alignment horizontal="center" vertical="center"/>
    </xf>
    <xf numFmtId="0" fontId="26" fillId="17" borderId="14" xfId="0" applyFont="1" applyFill="1" applyBorder="1" applyAlignment="1">
      <alignment horizontal="center" vertical="center"/>
    </xf>
    <xf numFmtId="0" fontId="26" fillId="17" borderId="16" xfId="0" applyFont="1" applyFill="1" applyBorder="1" applyAlignment="1">
      <alignment horizontal="center" vertical="center"/>
    </xf>
    <xf numFmtId="0" fontId="26" fillId="17" borderId="15" xfId="0" applyFont="1" applyFill="1" applyBorder="1" applyAlignment="1">
      <alignment horizontal="center" vertical="center"/>
    </xf>
    <xf numFmtId="0" fontId="26" fillId="17" borderId="45" xfId="0" applyFont="1" applyFill="1" applyBorder="1" applyAlignment="1">
      <alignment horizontal="center" vertical="center" wrapText="1"/>
    </xf>
    <xf numFmtId="0" fontId="26" fillId="17" borderId="46" xfId="0" applyFont="1" applyFill="1" applyBorder="1" applyAlignment="1">
      <alignment horizontal="center" vertical="center"/>
    </xf>
    <xf numFmtId="0" fontId="26" fillId="17" borderId="47" xfId="0" applyFont="1" applyFill="1" applyBorder="1" applyAlignment="1">
      <alignment horizontal="center" vertical="center"/>
    </xf>
    <xf numFmtId="0" fontId="26" fillId="17" borderId="45" xfId="0" applyFont="1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 wrapText="1"/>
    </xf>
    <xf numFmtId="9" fontId="0" fillId="18" borderId="42" xfId="1" applyFont="1" applyFill="1" applyBorder="1" applyAlignment="1">
      <alignment horizontal="center" vertical="center" wrapText="1"/>
    </xf>
    <xf numFmtId="9" fontId="0" fillId="19" borderId="42" xfId="1" applyFont="1" applyFill="1" applyBorder="1" applyAlignment="1">
      <alignment horizontal="center" vertical="center" wrapText="1"/>
    </xf>
    <xf numFmtId="9" fontId="0" fillId="19" borderId="44" xfId="1" applyFont="1" applyFill="1" applyBorder="1" applyAlignment="1">
      <alignment horizontal="center" vertical="center" wrapText="1"/>
    </xf>
    <xf numFmtId="0" fontId="0" fillId="0" borderId="49" xfId="0" applyBorder="1" applyAlignment="1">
      <alignment horizontal="left" wrapText="1"/>
    </xf>
    <xf numFmtId="0" fontId="0" fillId="0" borderId="48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17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7" fillId="0" borderId="34" xfId="14" applyFont="1" applyBorder="1" applyAlignment="1">
      <alignment horizontal="center" vertical="center" wrapText="1"/>
    </xf>
    <xf numFmtId="0" fontId="17" fillId="0" borderId="34" xfId="14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6" fillId="0" borderId="4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7" fillId="12" borderId="17" xfId="0" applyFont="1" applyFill="1" applyBorder="1" applyAlignment="1">
      <alignment horizontal="center" vertical="center"/>
    </xf>
    <xf numFmtId="0" fontId="17" fillId="12" borderId="18" xfId="0" applyFont="1" applyFill="1" applyBorder="1" applyAlignment="1">
      <alignment horizontal="center" vertical="center"/>
    </xf>
    <xf numFmtId="0" fontId="17" fillId="12" borderId="19" xfId="0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5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25" applyFont="1" applyAlignment="1">
      <alignment horizontal="center" vertical="center" wrapText="1"/>
    </xf>
    <xf numFmtId="0" fontId="4" fillId="0" borderId="0" xfId="25" applyFont="1" applyAlignment="1">
      <alignment horizontal="center" vertical="center"/>
    </xf>
    <xf numFmtId="0" fontId="6" fillId="2" borderId="1" xfId="8" applyFont="1" applyFill="1" applyBorder="1" applyAlignment="1">
      <alignment horizontal="center" vertical="center"/>
    </xf>
    <xf numFmtId="0" fontId="6" fillId="2" borderId="2" xfId="8" applyFont="1" applyFill="1" applyBorder="1" applyAlignment="1">
      <alignment horizontal="center" vertical="center"/>
    </xf>
    <xf numFmtId="0" fontId="6" fillId="2" borderId="6" xfId="8" applyFont="1" applyFill="1" applyBorder="1" applyAlignment="1">
      <alignment horizontal="center" vertical="center"/>
    </xf>
    <xf numFmtId="0" fontId="6" fillId="3" borderId="1" xfId="8" applyFont="1" applyFill="1" applyBorder="1" applyAlignment="1">
      <alignment horizontal="center" vertical="center"/>
    </xf>
    <xf numFmtId="0" fontId="6" fillId="3" borderId="2" xfId="8" applyFont="1" applyFill="1" applyBorder="1" applyAlignment="1">
      <alignment horizontal="center" vertical="center"/>
    </xf>
    <xf numFmtId="0" fontId="6" fillId="3" borderId="6" xfId="8" applyFont="1" applyFill="1" applyBorder="1" applyAlignment="1">
      <alignment horizontal="center" vertical="center"/>
    </xf>
    <xf numFmtId="0" fontId="14" fillId="0" borderId="9" xfId="13" applyFont="1" applyBorder="1" applyAlignment="1">
      <alignment horizontal="left" vertical="center" wrapText="1"/>
    </xf>
    <xf numFmtId="0" fontId="14" fillId="0" borderId="0" xfId="13" applyFont="1" applyBorder="1" applyAlignment="1">
      <alignment horizontal="left" vertical="center" wrapText="1"/>
    </xf>
    <xf numFmtId="0" fontId="14" fillId="0" borderId="11" xfId="13" applyFont="1" applyBorder="1" applyAlignment="1">
      <alignment horizontal="left" vertical="center" wrapText="1"/>
    </xf>
    <xf numFmtId="0" fontId="13" fillId="0" borderId="9" xfId="13" applyFont="1" applyBorder="1" applyAlignment="1">
      <alignment horizontal="left" vertical="center" wrapText="1"/>
    </xf>
    <xf numFmtId="0" fontId="13" fillId="0" borderId="0" xfId="13" applyFont="1" applyBorder="1" applyAlignment="1">
      <alignment horizontal="left" vertical="center" wrapText="1"/>
    </xf>
    <xf numFmtId="0" fontId="13" fillId="0" borderId="9" xfId="13" applyFont="1" applyBorder="1">
      <alignment horizontal="left" vertical="center"/>
    </xf>
    <xf numFmtId="0" fontId="13" fillId="0" borderId="0" xfId="13" applyFont="1" applyBorder="1">
      <alignment horizontal="left" vertical="center"/>
    </xf>
    <xf numFmtId="0" fontId="13" fillId="0" borderId="11" xfId="13" applyFont="1" applyBorder="1" applyAlignment="1">
      <alignment horizontal="left" vertical="center" wrapText="1"/>
    </xf>
  </cellXfs>
  <cellStyles count="26">
    <cellStyle name="% complete" xfId="2" xr:uid="{00000000-0005-0000-0000-000031000000}"/>
    <cellStyle name="% complete (beyond plan) legend" xfId="3" xr:uid="{00000000-0005-0000-0000-000032000000}"/>
    <cellStyle name="Activity" xfId="4" xr:uid="{00000000-0005-0000-0000-000033000000}"/>
    <cellStyle name="Actual (beyond plan) legend" xfId="5" xr:uid="{00000000-0005-0000-0000-000034000000}"/>
    <cellStyle name="Actual legend" xfId="6" xr:uid="{00000000-0005-0000-0000-000035000000}"/>
    <cellStyle name="Comma 2" xfId="7" xr:uid="{00000000-0005-0000-0000-000036000000}"/>
    <cellStyle name="Explanatory Text 2" xfId="8" xr:uid="{00000000-0005-0000-0000-000037000000}"/>
    <cellStyle name="Heading 1 2" xfId="9" xr:uid="{00000000-0005-0000-0000-000038000000}"/>
    <cellStyle name="Heading 2 2" xfId="10" xr:uid="{00000000-0005-0000-0000-000039000000}"/>
    <cellStyle name="Heading 3 2" xfId="11" xr:uid="{00000000-0005-0000-0000-00003A000000}"/>
    <cellStyle name="Heading 4 2" xfId="12" xr:uid="{00000000-0005-0000-0000-00003B000000}"/>
    <cellStyle name="Label" xfId="13" xr:uid="{00000000-0005-0000-0000-00003C000000}"/>
    <cellStyle name="Normal" xfId="0" builtinId="0"/>
    <cellStyle name="Normal 2" xfId="14" xr:uid="{00000000-0005-0000-0000-00003D000000}"/>
    <cellStyle name="Normal 3" xfId="15" xr:uid="{00000000-0005-0000-0000-00003E000000}"/>
    <cellStyle name="Normal 3 2" xfId="16" xr:uid="{00000000-0005-0000-0000-00003F000000}"/>
    <cellStyle name="Normal 4" xfId="17" xr:uid="{00000000-0005-0000-0000-000040000000}"/>
    <cellStyle name="Normal 5" xfId="18" xr:uid="{00000000-0005-0000-0000-000041000000}"/>
    <cellStyle name="Percent" xfId="1" builtinId="5"/>
    <cellStyle name="Percent Complete" xfId="19" xr:uid="{00000000-0005-0000-0000-000042000000}"/>
    <cellStyle name="Period Headers" xfId="20" xr:uid="{00000000-0005-0000-0000-000043000000}"/>
    <cellStyle name="Period Highlight Control" xfId="21" xr:uid="{00000000-0005-0000-0000-000044000000}"/>
    <cellStyle name="Period Value" xfId="22" xr:uid="{00000000-0005-0000-0000-000045000000}"/>
    <cellStyle name="Plan legend" xfId="23" xr:uid="{00000000-0005-0000-0000-000046000000}"/>
    <cellStyle name="Project Headers" xfId="24" xr:uid="{00000000-0005-0000-0000-000047000000}"/>
    <cellStyle name="Title 2" xfId="25" xr:uid="{00000000-0005-0000-0000-000048000000}"/>
  </cellStyles>
  <dxfs count="1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  <border>
        <bottom style="thin">
          <color theme="0"/>
        </bottom>
      </border>
    </dxf>
    <dxf>
      <fill>
        <patternFill patternType="solid">
          <bgColor theme="0" tint="-4.9989318521683403E-2"/>
        </patternFill>
      </fill>
      <border>
        <bottom style="thin">
          <color theme="0"/>
        </bottom>
      </border>
    </dxf>
    <dxf>
      <fill>
        <patternFill patternType="solid"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</border>
    </dxf>
    <dxf>
      <fill>
        <patternFill patternType="lightGray">
          <bgColor theme="0"/>
        </patternFill>
      </fill>
      <border>
        <bottom style="thin">
          <color theme="0"/>
        </bottom>
      </border>
    </dxf>
    <dxf>
      <fill>
        <patternFill patternType="lightGray">
          <fgColor rgb="FFFF0000"/>
          <bgColor theme="0"/>
        </patternFill>
      </fill>
      <border>
        <bottom style="thin">
          <color theme="0"/>
        </bottom>
      </border>
    </dxf>
    <dxf>
      <fill>
        <patternFill patternType="lightGray">
          <fgColor rgb="FF00B050"/>
          <bgColor theme="0"/>
        </patternFill>
      </fill>
      <border>
        <bottom style="thin">
          <color theme="0"/>
        </bottom>
      </border>
    </dxf>
    <dxf>
      <fill>
        <patternFill patternType="solid">
          <bgColor rgb="FFFF0000"/>
        </patternFill>
      </fill>
      <border>
        <bottom style="thin">
          <color theme="0"/>
        </bottom>
      </border>
    </dxf>
    <dxf>
      <fill>
        <patternFill patternType="solid">
          <bgColor rgb="FF00B050"/>
        </patternFill>
      </fill>
      <border>
        <bottom style="thin">
          <color theme="0"/>
        </bottom>
      </border>
    </dxf>
    <dxf>
      <border>
        <top style="thin">
          <color theme="7"/>
        </top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9.%20IMPROVEMENT_INVESTMENT\04.%20X&#431;&#7902;NG%20&#272;&#193;\Gantt%20project%20plann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Planner"/>
      <sheetName val="Gantt chart"/>
      <sheetName val="Gantt chart (2)"/>
      <sheetName val="Gantt chart (3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5"/>
  <sheetViews>
    <sheetView workbookViewId="0">
      <pane xSplit="2" ySplit="1" topLeftCell="C2" activePane="bottomRight" state="frozen"/>
      <selection pane="topRight"/>
      <selection pane="bottomLeft"/>
      <selection pane="bottomRight" activeCell="B13" sqref="B13:B42"/>
    </sheetView>
  </sheetViews>
  <sheetFormatPr defaultColWidth="9" defaultRowHeight="15"/>
  <cols>
    <col min="1" max="1" width="5.28515625" style="35" customWidth="1"/>
    <col min="2" max="2" width="19.140625" customWidth="1"/>
    <col min="3" max="3" width="7.85546875" style="192" customWidth="1"/>
    <col min="4" max="4" width="12.28515625" style="193" customWidth="1"/>
    <col min="5" max="5" width="35" customWidth="1"/>
    <col min="6" max="6" width="50.5703125" customWidth="1"/>
    <col min="7" max="7" width="13.7109375" style="35" customWidth="1"/>
    <col min="8" max="8" width="34.7109375" customWidth="1"/>
    <col min="9" max="9" width="13.140625" style="139" customWidth="1"/>
    <col min="10" max="10" width="8.85546875" style="35"/>
    <col min="11" max="11" width="8.140625" style="35" customWidth="1"/>
    <col min="12" max="12" width="12.28515625" style="193" customWidth="1"/>
    <col min="13" max="13" width="10.85546875" style="35" customWidth="1"/>
  </cols>
  <sheetData>
    <row r="1" spans="1:13" s="191" customFormat="1" ht="42.75">
      <c r="A1" s="194" t="s">
        <v>0</v>
      </c>
      <c r="B1" s="195" t="s">
        <v>1</v>
      </c>
      <c r="C1" s="196" t="s">
        <v>2</v>
      </c>
      <c r="D1" s="196" t="s">
        <v>3</v>
      </c>
      <c r="E1" s="197" t="s">
        <v>4</v>
      </c>
      <c r="F1" s="198" t="s">
        <v>5</v>
      </c>
      <c r="G1" s="196" t="s">
        <v>6</v>
      </c>
      <c r="H1" s="196" t="s">
        <v>7</v>
      </c>
      <c r="I1" s="197" t="s">
        <v>8</v>
      </c>
      <c r="J1" s="197" t="s">
        <v>9</v>
      </c>
      <c r="K1" s="197" t="s">
        <v>0</v>
      </c>
      <c r="L1" s="196" t="s">
        <v>10</v>
      </c>
      <c r="M1" s="203" t="s">
        <v>11</v>
      </c>
    </row>
    <row r="2" spans="1:13" hidden="1">
      <c r="A2" s="199">
        <v>1</v>
      </c>
      <c r="B2" s="50" t="s">
        <v>12</v>
      </c>
      <c r="C2" s="200" t="s">
        <v>13</v>
      </c>
      <c r="D2" s="201" t="s">
        <v>14</v>
      </c>
      <c r="E2" s="50" t="s">
        <v>15</v>
      </c>
      <c r="F2" s="50" t="str">
        <f t="shared" ref="F2:F33" si="0">CONCATENATE(C2," ",D2," ",E2)</f>
        <v>ĐÁ BAZAN ĐEN</v>
      </c>
      <c r="G2" s="88" t="s">
        <v>16</v>
      </c>
      <c r="H2" s="50" t="s">
        <v>17</v>
      </c>
      <c r="I2" s="53" t="s">
        <v>18</v>
      </c>
      <c r="J2" s="88" t="s">
        <v>19</v>
      </c>
      <c r="K2" s="88" t="s">
        <v>20</v>
      </c>
      <c r="L2" s="201" t="str">
        <f t="shared" ref="L2:L33" si="1">CONCATENATE(I2,"",J2,"",K2)</f>
        <v>AABZ001</v>
      </c>
      <c r="M2" s="204">
        <f t="shared" ref="M2:M33" si="2">LEN(F2)</f>
        <v>12</v>
      </c>
    </row>
    <row r="3" spans="1:13" hidden="1">
      <c r="A3" s="199">
        <v>2</v>
      </c>
      <c r="B3" s="50" t="s">
        <v>21</v>
      </c>
      <c r="C3" s="200" t="s">
        <v>13</v>
      </c>
      <c r="D3" s="201" t="s">
        <v>22</v>
      </c>
      <c r="E3" s="50" t="s">
        <v>23</v>
      </c>
      <c r="F3" s="50" t="str">
        <f t="shared" si="0"/>
        <v>ĐÁ GRANITE TRẮNG BÌNH ĐỊNH</v>
      </c>
      <c r="G3" s="88" t="s">
        <v>24</v>
      </c>
      <c r="H3" s="50" t="s">
        <v>25</v>
      </c>
      <c r="I3" s="53" t="s">
        <v>18</v>
      </c>
      <c r="J3" s="88" t="s">
        <v>26</v>
      </c>
      <c r="K3" s="88" t="s">
        <v>27</v>
      </c>
      <c r="L3" s="201" t="str">
        <f t="shared" si="1"/>
        <v>AAGN003</v>
      </c>
      <c r="M3" s="204">
        <f t="shared" si="2"/>
        <v>26</v>
      </c>
    </row>
    <row r="4" spans="1:13" hidden="1">
      <c r="A4" s="199">
        <v>3</v>
      </c>
      <c r="B4" s="50" t="s">
        <v>28</v>
      </c>
      <c r="C4" s="200" t="s">
        <v>13</v>
      </c>
      <c r="D4" s="201" t="s">
        <v>22</v>
      </c>
      <c r="E4" s="50" t="s">
        <v>29</v>
      </c>
      <c r="F4" s="50" t="str">
        <f t="shared" si="0"/>
        <v>ĐÁ GRANITE ABSOLUTE BLACK</v>
      </c>
      <c r="G4" s="88" t="s">
        <v>24</v>
      </c>
      <c r="H4" s="50" t="s">
        <v>30</v>
      </c>
      <c r="I4" s="53" t="s">
        <v>18</v>
      </c>
      <c r="J4" s="88" t="s">
        <v>26</v>
      </c>
      <c r="K4" s="88" t="s">
        <v>20</v>
      </c>
      <c r="L4" s="201" t="str">
        <f t="shared" si="1"/>
        <v>AAGN001</v>
      </c>
      <c r="M4" s="204">
        <f t="shared" si="2"/>
        <v>25</v>
      </c>
    </row>
    <row r="5" spans="1:13" hidden="1">
      <c r="A5" s="199">
        <v>4</v>
      </c>
      <c r="B5" s="50" t="s">
        <v>31</v>
      </c>
      <c r="C5" s="200" t="s">
        <v>13</v>
      </c>
      <c r="D5" s="201" t="s">
        <v>22</v>
      </c>
      <c r="E5" s="50" t="s">
        <v>32</v>
      </c>
      <c r="F5" s="50" t="str">
        <f t="shared" si="0"/>
        <v>ĐÁ GRANITE MARKINO BLACK</v>
      </c>
      <c r="G5" s="88" t="s">
        <v>16</v>
      </c>
      <c r="H5" s="50" t="s">
        <v>33</v>
      </c>
      <c r="I5" s="53" t="s">
        <v>18</v>
      </c>
      <c r="J5" s="88" t="s">
        <v>26</v>
      </c>
      <c r="K5" s="88" t="s">
        <v>34</v>
      </c>
      <c r="L5" s="201" t="str">
        <f t="shared" si="1"/>
        <v>AAGN009</v>
      </c>
      <c r="M5" s="204">
        <f t="shared" si="2"/>
        <v>24</v>
      </c>
    </row>
    <row r="6" spans="1:13" hidden="1">
      <c r="A6" s="199">
        <v>5</v>
      </c>
      <c r="B6" s="50" t="s">
        <v>35</v>
      </c>
      <c r="C6" s="200" t="s">
        <v>13</v>
      </c>
      <c r="D6" s="201" t="s">
        <v>22</v>
      </c>
      <c r="E6" s="50" t="s">
        <v>36</v>
      </c>
      <c r="F6" s="50" t="str">
        <f t="shared" si="0"/>
        <v>ĐÁ GRANITE KIM SA TRUNG</v>
      </c>
      <c r="G6" s="88" t="s">
        <v>37</v>
      </c>
      <c r="H6" s="50" t="s">
        <v>38</v>
      </c>
      <c r="I6" s="53" t="s">
        <v>18</v>
      </c>
      <c r="J6" s="88" t="s">
        <v>26</v>
      </c>
      <c r="K6" s="88" t="s">
        <v>39</v>
      </c>
      <c r="L6" s="201" t="str">
        <f t="shared" si="1"/>
        <v>AAGN006</v>
      </c>
      <c r="M6" s="204">
        <f t="shared" si="2"/>
        <v>23</v>
      </c>
    </row>
    <row r="7" spans="1:13" hidden="1">
      <c r="A7" s="199">
        <v>6</v>
      </c>
      <c r="B7" s="50" t="s">
        <v>40</v>
      </c>
      <c r="C7" s="200" t="s">
        <v>13</v>
      </c>
      <c r="D7" s="201" t="s">
        <v>22</v>
      </c>
      <c r="E7" s="50" t="s">
        <v>41</v>
      </c>
      <c r="F7" s="50" t="str">
        <f t="shared" si="0"/>
        <v>ĐÁ GRANITE SUPER BLACK</v>
      </c>
      <c r="G7" s="88" t="s">
        <v>24</v>
      </c>
      <c r="H7" s="50" t="s">
        <v>42</v>
      </c>
      <c r="I7" s="53" t="s">
        <v>18</v>
      </c>
      <c r="J7" s="88" t="s">
        <v>26</v>
      </c>
      <c r="K7" s="88" t="s">
        <v>43</v>
      </c>
      <c r="L7" s="201" t="str">
        <f t="shared" si="1"/>
        <v>AAGN010</v>
      </c>
      <c r="M7" s="204">
        <f t="shared" si="2"/>
        <v>22</v>
      </c>
    </row>
    <row r="8" spans="1:13" hidden="1">
      <c r="A8" s="199">
        <v>7</v>
      </c>
      <c r="B8" s="50" t="s">
        <v>44</v>
      </c>
      <c r="C8" s="200" t="s">
        <v>13</v>
      </c>
      <c r="D8" s="201" t="s">
        <v>22</v>
      </c>
      <c r="E8" s="50" t="s">
        <v>45</v>
      </c>
      <c r="F8" s="50" t="str">
        <f t="shared" si="0"/>
        <v>ĐÁ GRANITE INDIA WHITE</v>
      </c>
      <c r="G8" s="88" t="s">
        <v>16</v>
      </c>
      <c r="H8" s="50" t="s">
        <v>46</v>
      </c>
      <c r="I8" s="53" t="s">
        <v>18</v>
      </c>
      <c r="J8" s="88" t="s">
        <v>26</v>
      </c>
      <c r="K8" s="88" t="s">
        <v>47</v>
      </c>
      <c r="L8" s="201" t="str">
        <f t="shared" si="1"/>
        <v>AAGN002</v>
      </c>
      <c r="M8" s="204">
        <f t="shared" si="2"/>
        <v>22</v>
      </c>
    </row>
    <row r="9" spans="1:13" hidden="1">
      <c r="A9" s="199">
        <v>8</v>
      </c>
      <c r="B9" s="50" t="s">
        <v>48</v>
      </c>
      <c r="C9" s="200" t="s">
        <v>13</v>
      </c>
      <c r="D9" s="201" t="s">
        <v>22</v>
      </c>
      <c r="E9" s="50" t="s">
        <v>49</v>
      </c>
      <c r="F9" s="50" t="str">
        <f t="shared" si="0"/>
        <v>ĐÁ GRANITE ĐEN NGÂN HÀ</v>
      </c>
      <c r="G9" s="88" t="s">
        <v>16</v>
      </c>
      <c r="H9" s="50" t="s">
        <v>50</v>
      </c>
      <c r="I9" s="53" t="s">
        <v>18</v>
      </c>
      <c r="J9" s="88" t="s">
        <v>26</v>
      </c>
      <c r="K9" s="88" t="s">
        <v>51</v>
      </c>
      <c r="L9" s="201" t="str">
        <f t="shared" si="1"/>
        <v>AAGN004</v>
      </c>
      <c r="M9" s="204">
        <f t="shared" si="2"/>
        <v>22</v>
      </c>
    </row>
    <row r="10" spans="1:13" hidden="1">
      <c r="A10" s="199">
        <v>9</v>
      </c>
      <c r="B10" s="202">
        <v>100001000455</v>
      </c>
      <c r="C10" s="200" t="s">
        <v>13</v>
      </c>
      <c r="D10" s="201" t="s">
        <v>22</v>
      </c>
      <c r="E10" s="50" t="s">
        <v>52</v>
      </c>
      <c r="F10" s="50" t="str">
        <f t="shared" si="0"/>
        <v>ĐÁ GRANITE ĐEN PHÚ YÊN</v>
      </c>
      <c r="G10" s="88" t="s">
        <v>16</v>
      </c>
      <c r="H10" s="50" t="s">
        <v>53</v>
      </c>
      <c r="I10" s="53" t="s">
        <v>18</v>
      </c>
      <c r="J10" s="88" t="s">
        <v>26</v>
      </c>
      <c r="K10" s="88" t="s">
        <v>54</v>
      </c>
      <c r="L10" s="201" t="str">
        <f t="shared" si="1"/>
        <v>AAGN008</v>
      </c>
      <c r="M10" s="204">
        <f t="shared" si="2"/>
        <v>22</v>
      </c>
    </row>
    <row r="11" spans="1:13" hidden="1">
      <c r="A11" s="199">
        <v>10</v>
      </c>
      <c r="B11" s="50" t="s">
        <v>55</v>
      </c>
      <c r="C11" s="200" t="s">
        <v>13</v>
      </c>
      <c r="D11" s="201" t="s">
        <v>22</v>
      </c>
      <c r="E11" s="50" t="s">
        <v>56</v>
      </c>
      <c r="F11" s="50" t="str">
        <f t="shared" si="0"/>
        <v>ĐÁ GRANITE XÁM SA MẠC</v>
      </c>
      <c r="G11" s="88" t="s">
        <v>24</v>
      </c>
      <c r="H11" s="50" t="s">
        <v>57</v>
      </c>
      <c r="I11" s="53" t="s">
        <v>18</v>
      </c>
      <c r="J11" s="88" t="s">
        <v>26</v>
      </c>
      <c r="K11" s="88" t="s">
        <v>58</v>
      </c>
      <c r="L11" s="201" t="str">
        <f t="shared" si="1"/>
        <v>AAGN005</v>
      </c>
      <c r="M11" s="204">
        <f t="shared" si="2"/>
        <v>21</v>
      </c>
    </row>
    <row r="12" spans="1:13" hidden="1">
      <c r="A12" s="199">
        <v>11</v>
      </c>
      <c r="B12" s="50" t="s">
        <v>59</v>
      </c>
      <c r="C12" s="200" t="s">
        <v>13</v>
      </c>
      <c r="D12" s="201" t="s">
        <v>22</v>
      </c>
      <c r="E12" s="50" t="s">
        <v>60</v>
      </c>
      <c r="F12" s="50" t="str">
        <f t="shared" si="0"/>
        <v>ĐÁ GRANITE RUBY RED</v>
      </c>
      <c r="G12" s="88" t="s">
        <v>24</v>
      </c>
      <c r="H12" s="50" t="s">
        <v>61</v>
      </c>
      <c r="I12" s="53" t="s">
        <v>18</v>
      </c>
      <c r="J12" s="88" t="s">
        <v>26</v>
      </c>
      <c r="K12" s="88" t="s">
        <v>62</v>
      </c>
      <c r="L12" s="201" t="str">
        <f t="shared" si="1"/>
        <v>AAGN007</v>
      </c>
      <c r="M12" s="204">
        <f t="shared" si="2"/>
        <v>19</v>
      </c>
    </row>
    <row r="13" spans="1:13">
      <c r="A13" s="199">
        <v>12</v>
      </c>
      <c r="B13" s="50" t="s">
        <v>63</v>
      </c>
      <c r="C13" s="200" t="s">
        <v>13</v>
      </c>
      <c r="D13" s="201" t="s">
        <v>64</v>
      </c>
      <c r="E13" s="50" t="s">
        <v>65</v>
      </c>
      <c r="F13" s="50" t="str">
        <f t="shared" si="0"/>
        <v>ĐÁ MARBLE DARK GREY EMPERADOR</v>
      </c>
      <c r="G13" s="88" t="s">
        <v>66</v>
      </c>
      <c r="H13" s="50" t="s">
        <v>67</v>
      </c>
      <c r="I13" s="53" t="s">
        <v>18</v>
      </c>
      <c r="J13" s="88" t="s">
        <v>68</v>
      </c>
      <c r="K13" s="88" t="s">
        <v>69</v>
      </c>
      <c r="L13" s="201" t="str">
        <f t="shared" si="1"/>
        <v>AAMB021</v>
      </c>
      <c r="M13" s="204">
        <f t="shared" si="2"/>
        <v>29</v>
      </c>
    </row>
    <row r="14" spans="1:13" hidden="1">
      <c r="A14" s="199">
        <v>13</v>
      </c>
      <c r="B14" s="50" t="s">
        <v>70</v>
      </c>
      <c r="C14" s="200" t="s">
        <v>13</v>
      </c>
      <c r="D14" s="201" t="s">
        <v>64</v>
      </c>
      <c r="E14" s="50" t="s">
        <v>71</v>
      </c>
      <c r="F14" s="50" t="str">
        <f t="shared" si="0"/>
        <v>ĐÁ MARBLE ATHEN GOLDEN FLOWER</v>
      </c>
      <c r="G14" s="88" t="s">
        <v>72</v>
      </c>
      <c r="H14" s="50" t="s">
        <v>73</v>
      </c>
      <c r="I14" s="53" t="s">
        <v>18</v>
      </c>
      <c r="J14" s="88" t="s">
        <v>68</v>
      </c>
      <c r="K14" s="88" t="s">
        <v>74</v>
      </c>
      <c r="L14" s="201" t="str">
        <f t="shared" si="1"/>
        <v>AAMB048</v>
      </c>
      <c r="M14" s="204">
        <f t="shared" si="2"/>
        <v>29</v>
      </c>
    </row>
    <row r="15" spans="1:13">
      <c r="A15" s="199">
        <v>14</v>
      </c>
      <c r="B15" s="50" t="s">
        <v>75</v>
      </c>
      <c r="C15" s="200" t="s">
        <v>13</v>
      </c>
      <c r="D15" s="201" t="s">
        <v>64</v>
      </c>
      <c r="E15" s="50" t="s">
        <v>76</v>
      </c>
      <c r="F15" s="50" t="str">
        <f t="shared" si="0"/>
        <v>ĐÁ MARBLE LIGHT EMPERADOR</v>
      </c>
      <c r="G15" s="88" t="s">
        <v>66</v>
      </c>
      <c r="H15" s="50" t="s">
        <v>77</v>
      </c>
      <c r="I15" s="53" t="s">
        <v>18</v>
      </c>
      <c r="J15" s="88" t="s">
        <v>68</v>
      </c>
      <c r="K15" s="88" t="s">
        <v>39</v>
      </c>
      <c r="L15" s="201" t="str">
        <f t="shared" si="1"/>
        <v>AAMB006</v>
      </c>
      <c r="M15" s="204">
        <f t="shared" si="2"/>
        <v>25</v>
      </c>
    </row>
    <row r="16" spans="1:13" hidden="1">
      <c r="A16" s="199">
        <v>15</v>
      </c>
      <c r="B16" s="50" t="s">
        <v>78</v>
      </c>
      <c r="C16" s="200" t="s">
        <v>13</v>
      </c>
      <c r="D16" s="201" t="s">
        <v>64</v>
      </c>
      <c r="E16" s="50" t="s">
        <v>79</v>
      </c>
      <c r="F16" s="50" t="str">
        <f t="shared" si="0"/>
        <v>ĐÁ MARBLE CALACATTA VIOLA</v>
      </c>
      <c r="G16" s="88" t="s">
        <v>80</v>
      </c>
      <c r="H16" s="50" t="s">
        <v>81</v>
      </c>
      <c r="I16" s="53" t="s">
        <v>18</v>
      </c>
      <c r="J16" s="88" t="s">
        <v>68</v>
      </c>
      <c r="K16" s="88" t="s">
        <v>34</v>
      </c>
      <c r="L16" s="201" t="str">
        <f t="shared" si="1"/>
        <v>AAMB009</v>
      </c>
      <c r="M16" s="204">
        <f t="shared" si="2"/>
        <v>25</v>
      </c>
    </row>
    <row r="17" spans="1:13" hidden="1">
      <c r="A17" s="199">
        <v>16</v>
      </c>
      <c r="B17" s="50" t="s">
        <v>82</v>
      </c>
      <c r="C17" s="200" t="s">
        <v>13</v>
      </c>
      <c r="D17" s="201" t="s">
        <v>64</v>
      </c>
      <c r="E17" s="50" t="s">
        <v>83</v>
      </c>
      <c r="F17" s="50" t="str">
        <f t="shared" si="0"/>
        <v>ĐÁ MARBLE NOIR ST LAURENT</v>
      </c>
      <c r="G17" s="88" t="s">
        <v>72</v>
      </c>
      <c r="H17" s="50" t="s">
        <v>84</v>
      </c>
      <c r="I17" s="53" t="s">
        <v>18</v>
      </c>
      <c r="J17" s="88" t="s">
        <v>68</v>
      </c>
      <c r="K17" s="88" t="s">
        <v>85</v>
      </c>
      <c r="L17" s="201" t="str">
        <f t="shared" si="1"/>
        <v>AAMB028</v>
      </c>
      <c r="M17" s="204">
        <f t="shared" si="2"/>
        <v>25</v>
      </c>
    </row>
    <row r="18" spans="1:13" hidden="1">
      <c r="A18" s="199">
        <v>17</v>
      </c>
      <c r="B18" s="50" t="s">
        <v>86</v>
      </c>
      <c r="C18" s="200" t="s">
        <v>13</v>
      </c>
      <c r="D18" s="201" t="s">
        <v>64</v>
      </c>
      <c r="E18" s="50" t="s">
        <v>87</v>
      </c>
      <c r="F18" s="50" t="str">
        <f t="shared" si="0"/>
        <v>ĐÁ MARBLE VOLAKAS BUTERLY</v>
      </c>
      <c r="G18" s="88" t="s">
        <v>88</v>
      </c>
      <c r="H18" s="50" t="s">
        <v>89</v>
      </c>
      <c r="I18" s="53" t="s">
        <v>18</v>
      </c>
      <c r="J18" s="88" t="s">
        <v>68</v>
      </c>
      <c r="K18" s="88" t="s">
        <v>90</v>
      </c>
      <c r="L18" s="201" t="str">
        <f t="shared" si="1"/>
        <v>AAMB034</v>
      </c>
      <c r="M18" s="204">
        <f t="shared" si="2"/>
        <v>25</v>
      </c>
    </row>
    <row r="19" spans="1:13">
      <c r="A19" s="199">
        <v>18</v>
      </c>
      <c r="B19" s="50" t="s">
        <v>91</v>
      </c>
      <c r="C19" s="200" t="s">
        <v>13</v>
      </c>
      <c r="D19" s="201" t="s">
        <v>64</v>
      </c>
      <c r="E19" s="50" t="s">
        <v>92</v>
      </c>
      <c r="F19" s="50" t="str">
        <f t="shared" si="0"/>
        <v>ĐÁ MARBLE EMPERADOR GREY</v>
      </c>
      <c r="G19" s="88" t="s">
        <v>66</v>
      </c>
      <c r="H19" s="50" t="s">
        <v>93</v>
      </c>
      <c r="I19" s="53" t="s">
        <v>18</v>
      </c>
      <c r="J19" s="88" t="s">
        <v>68</v>
      </c>
      <c r="K19" s="88" t="s">
        <v>58</v>
      </c>
      <c r="L19" s="201" t="str">
        <f t="shared" si="1"/>
        <v>AAMB005</v>
      </c>
      <c r="M19" s="204">
        <f t="shared" si="2"/>
        <v>24</v>
      </c>
    </row>
    <row r="20" spans="1:13" hidden="1">
      <c r="A20" s="199">
        <v>19</v>
      </c>
      <c r="B20" s="50" t="s">
        <v>94</v>
      </c>
      <c r="C20" s="200" t="s">
        <v>13</v>
      </c>
      <c r="D20" s="201" t="s">
        <v>64</v>
      </c>
      <c r="E20" s="50" t="s">
        <v>95</v>
      </c>
      <c r="F20" s="50" t="str">
        <f t="shared" si="0"/>
        <v>ĐÁ MARBLE ROSSO ALICANTE</v>
      </c>
      <c r="G20" s="88" t="s">
        <v>72</v>
      </c>
      <c r="H20" s="50" t="s">
        <v>96</v>
      </c>
      <c r="I20" s="53" t="s">
        <v>18</v>
      </c>
      <c r="J20" s="88" t="s">
        <v>68</v>
      </c>
      <c r="K20" s="88" t="s">
        <v>97</v>
      </c>
      <c r="L20" s="201" t="str">
        <f t="shared" si="1"/>
        <v>AAMB049</v>
      </c>
      <c r="M20" s="204">
        <f t="shared" si="2"/>
        <v>24</v>
      </c>
    </row>
    <row r="21" spans="1:13" hidden="1">
      <c r="A21" s="199">
        <v>20</v>
      </c>
      <c r="B21" s="50" t="s">
        <v>98</v>
      </c>
      <c r="C21" s="200" t="s">
        <v>13</v>
      </c>
      <c r="D21" s="201" t="s">
        <v>64</v>
      </c>
      <c r="E21" s="50" t="s">
        <v>99</v>
      </c>
      <c r="F21" s="50" t="str">
        <f t="shared" si="0"/>
        <v>ĐÁ MARBLE ORIENTAL WHITE</v>
      </c>
      <c r="G21" s="88" t="s">
        <v>100</v>
      </c>
      <c r="H21" s="50" t="s">
        <v>101</v>
      </c>
      <c r="I21" s="53" t="s">
        <v>18</v>
      </c>
      <c r="J21" s="88" t="s">
        <v>68</v>
      </c>
      <c r="K21" s="88" t="s">
        <v>102</v>
      </c>
      <c r="L21" s="201" t="str">
        <f t="shared" si="1"/>
        <v>AAMB043</v>
      </c>
      <c r="M21" s="204">
        <f t="shared" si="2"/>
        <v>24</v>
      </c>
    </row>
    <row r="22" spans="1:13" hidden="1">
      <c r="A22" s="199">
        <v>21</v>
      </c>
      <c r="B22" s="202">
        <v>100001000610</v>
      </c>
      <c r="C22" s="200" t="s">
        <v>13</v>
      </c>
      <c r="D22" s="201" t="s">
        <v>64</v>
      </c>
      <c r="E22" s="50" t="s">
        <v>103</v>
      </c>
      <c r="F22" s="50" t="str">
        <f t="shared" si="0"/>
        <v>ĐÁ MARBLE PLATTINUM GREY</v>
      </c>
      <c r="G22" s="88" t="s">
        <v>104</v>
      </c>
      <c r="H22" s="50" t="s">
        <v>105</v>
      </c>
      <c r="I22" s="53" t="s">
        <v>18</v>
      </c>
      <c r="J22" s="88" t="s">
        <v>68</v>
      </c>
      <c r="K22" s="88" t="s">
        <v>106</v>
      </c>
      <c r="L22" s="201" t="str">
        <f t="shared" si="1"/>
        <v>AAMB040</v>
      </c>
      <c r="M22" s="204">
        <f t="shared" si="2"/>
        <v>24</v>
      </c>
    </row>
    <row r="23" spans="1:13" hidden="1">
      <c r="A23" s="199">
        <v>22</v>
      </c>
      <c r="B23" s="50" t="s">
        <v>107</v>
      </c>
      <c r="C23" s="200" t="s">
        <v>13</v>
      </c>
      <c r="D23" s="201" t="s">
        <v>64</v>
      </c>
      <c r="E23" s="50" t="s">
        <v>108</v>
      </c>
      <c r="F23" s="50" t="str">
        <f t="shared" si="0"/>
        <v>ĐÁ MARBLE VOLAKAS ÍT VÂN</v>
      </c>
      <c r="G23" s="88" t="s">
        <v>88</v>
      </c>
      <c r="H23" s="50" t="s">
        <v>109</v>
      </c>
      <c r="I23" s="53" t="s">
        <v>18</v>
      </c>
      <c r="J23" s="88" t="s">
        <v>68</v>
      </c>
      <c r="K23" s="88" t="s">
        <v>110</v>
      </c>
      <c r="L23" s="201" t="str">
        <f t="shared" si="1"/>
        <v>AAMB035</v>
      </c>
      <c r="M23" s="204">
        <f t="shared" si="2"/>
        <v>24</v>
      </c>
    </row>
    <row r="24" spans="1:13" hidden="1">
      <c r="A24" s="199">
        <v>23</v>
      </c>
      <c r="B24" s="50" t="s">
        <v>111</v>
      </c>
      <c r="C24" s="200" t="s">
        <v>13</v>
      </c>
      <c r="D24" s="201" t="s">
        <v>64</v>
      </c>
      <c r="E24" s="50" t="s">
        <v>112</v>
      </c>
      <c r="F24" s="50" t="str">
        <f t="shared" si="0"/>
        <v>ĐÁ MARBLE CARRARA WHITE</v>
      </c>
      <c r="G24" s="88" t="s">
        <v>80</v>
      </c>
      <c r="H24" s="50" t="s">
        <v>113</v>
      </c>
      <c r="I24" s="53" t="s">
        <v>18</v>
      </c>
      <c r="J24" s="88" t="s">
        <v>68</v>
      </c>
      <c r="K24" s="88" t="s">
        <v>27</v>
      </c>
      <c r="L24" s="201" t="str">
        <f t="shared" si="1"/>
        <v>AAMB003</v>
      </c>
      <c r="M24" s="204">
        <f t="shared" si="2"/>
        <v>23</v>
      </c>
    </row>
    <row r="25" spans="1:13" hidden="1">
      <c r="A25" s="199">
        <v>24</v>
      </c>
      <c r="B25" s="50" t="s">
        <v>114</v>
      </c>
      <c r="C25" s="200" t="s">
        <v>13</v>
      </c>
      <c r="D25" s="201" t="s">
        <v>64</v>
      </c>
      <c r="E25" s="50" t="s">
        <v>115</v>
      </c>
      <c r="F25" s="50" t="str">
        <f t="shared" si="0"/>
        <v>ĐÁ MARBLE FANTASY BLACK</v>
      </c>
      <c r="G25" s="88" t="s">
        <v>80</v>
      </c>
      <c r="H25" s="50" t="s">
        <v>116</v>
      </c>
      <c r="I25" s="53" t="s">
        <v>18</v>
      </c>
      <c r="J25" s="88" t="s">
        <v>68</v>
      </c>
      <c r="K25" s="88" t="s">
        <v>117</v>
      </c>
      <c r="L25" s="201" t="str">
        <f t="shared" si="1"/>
        <v>AAMB022</v>
      </c>
      <c r="M25" s="204">
        <f t="shared" si="2"/>
        <v>23</v>
      </c>
    </row>
    <row r="26" spans="1:13" hidden="1">
      <c r="A26" s="199">
        <v>25</v>
      </c>
      <c r="B26" s="50" t="s">
        <v>118</v>
      </c>
      <c r="C26" s="200" t="s">
        <v>13</v>
      </c>
      <c r="D26" s="201" t="s">
        <v>64</v>
      </c>
      <c r="E26" s="50" t="s">
        <v>119</v>
      </c>
      <c r="F26" s="50" t="str">
        <f t="shared" si="0"/>
        <v>ĐÁ MARBLE NERO MARQUINA</v>
      </c>
      <c r="G26" s="88" t="s">
        <v>120</v>
      </c>
      <c r="H26" s="50" t="s">
        <v>121</v>
      </c>
      <c r="I26" s="53" t="s">
        <v>18</v>
      </c>
      <c r="J26" s="88" t="s">
        <v>68</v>
      </c>
      <c r="K26" s="88" t="s">
        <v>43</v>
      </c>
      <c r="L26" s="201" t="str">
        <f t="shared" si="1"/>
        <v>AAMB010</v>
      </c>
      <c r="M26" s="204">
        <f t="shared" si="2"/>
        <v>23</v>
      </c>
    </row>
    <row r="27" spans="1:13" hidden="1">
      <c r="A27" s="199">
        <v>26</v>
      </c>
      <c r="B27" s="50" t="s">
        <v>122</v>
      </c>
      <c r="C27" s="200" t="s">
        <v>13</v>
      </c>
      <c r="D27" s="201" t="s">
        <v>64</v>
      </c>
      <c r="E27" s="50" t="s">
        <v>123</v>
      </c>
      <c r="F27" s="50" t="str">
        <f t="shared" si="0"/>
        <v>ĐÁ MARBLE POLARIS WHITE</v>
      </c>
      <c r="G27" s="88" t="s">
        <v>104</v>
      </c>
      <c r="H27" s="50" t="s">
        <v>124</v>
      </c>
      <c r="I27" s="53" t="s">
        <v>18</v>
      </c>
      <c r="J27" s="88" t="s">
        <v>68</v>
      </c>
      <c r="K27" s="88" t="s">
        <v>125</v>
      </c>
      <c r="L27" s="201" t="str">
        <f t="shared" si="1"/>
        <v>AAMB031</v>
      </c>
      <c r="M27" s="204">
        <f t="shared" si="2"/>
        <v>23</v>
      </c>
    </row>
    <row r="28" spans="1:13" hidden="1">
      <c r="A28" s="199">
        <v>27</v>
      </c>
      <c r="B28" s="50" t="s">
        <v>126</v>
      </c>
      <c r="C28" s="200" t="s">
        <v>13</v>
      </c>
      <c r="D28" s="201" t="s">
        <v>64</v>
      </c>
      <c r="E28" s="50" t="s">
        <v>127</v>
      </c>
      <c r="F28" s="50" t="str">
        <f t="shared" si="0"/>
        <v>ĐÁ MARBLE VOLAKAS EXTRA</v>
      </c>
      <c r="G28" s="88" t="s">
        <v>88</v>
      </c>
      <c r="H28" s="50" t="s">
        <v>128</v>
      </c>
      <c r="I28" s="53" t="s">
        <v>18</v>
      </c>
      <c r="J28" s="88" t="s">
        <v>68</v>
      </c>
      <c r="K28" s="88" t="s">
        <v>129</v>
      </c>
      <c r="L28" s="201" t="str">
        <f t="shared" si="1"/>
        <v>AAMB036</v>
      </c>
      <c r="M28" s="204">
        <f t="shared" si="2"/>
        <v>23</v>
      </c>
    </row>
    <row r="29" spans="1:13" hidden="1">
      <c r="A29" s="199">
        <v>28</v>
      </c>
      <c r="B29" s="50" t="s">
        <v>130</v>
      </c>
      <c r="C29" s="200" t="s">
        <v>13</v>
      </c>
      <c r="D29" s="201" t="s">
        <v>64</v>
      </c>
      <c r="E29" s="50" t="s">
        <v>131</v>
      </c>
      <c r="F29" s="50" t="str">
        <f t="shared" si="0"/>
        <v>ĐÁ MARBLE ARISTON WHITE</v>
      </c>
      <c r="G29" s="88" t="s">
        <v>88</v>
      </c>
      <c r="H29" s="50" t="s">
        <v>132</v>
      </c>
      <c r="I29" s="53" t="s">
        <v>18</v>
      </c>
      <c r="J29" s="88" t="s">
        <v>68</v>
      </c>
      <c r="K29" s="88" t="s">
        <v>133</v>
      </c>
      <c r="L29" s="201" t="str">
        <f t="shared" si="1"/>
        <v>AAMB045</v>
      </c>
      <c r="M29" s="204">
        <f t="shared" si="2"/>
        <v>23</v>
      </c>
    </row>
    <row r="30" spans="1:13">
      <c r="A30" s="199">
        <v>29</v>
      </c>
      <c r="B30" s="50" t="s">
        <v>134</v>
      </c>
      <c r="C30" s="200" t="s">
        <v>13</v>
      </c>
      <c r="D30" s="201" t="s">
        <v>64</v>
      </c>
      <c r="E30" s="50" t="s">
        <v>135</v>
      </c>
      <c r="F30" s="50" t="str">
        <f t="shared" si="0"/>
        <v>ĐÁ MARBLE DESERT BEIGE</v>
      </c>
      <c r="G30" s="88" t="s">
        <v>66</v>
      </c>
      <c r="H30" s="50" t="s">
        <v>136</v>
      </c>
      <c r="I30" s="53" t="s">
        <v>18</v>
      </c>
      <c r="J30" s="88" t="s">
        <v>68</v>
      </c>
      <c r="K30" s="88" t="s">
        <v>51</v>
      </c>
      <c r="L30" s="201" t="str">
        <f t="shared" si="1"/>
        <v>AAMB004</v>
      </c>
      <c r="M30" s="204">
        <f t="shared" si="2"/>
        <v>22</v>
      </c>
    </row>
    <row r="31" spans="1:13" hidden="1">
      <c r="A31" s="199">
        <v>30</v>
      </c>
      <c r="B31" s="50" t="s">
        <v>137</v>
      </c>
      <c r="C31" s="200" t="s">
        <v>13</v>
      </c>
      <c r="D31" s="201" t="s">
        <v>64</v>
      </c>
      <c r="E31" s="50" t="s">
        <v>138</v>
      </c>
      <c r="F31" s="50" t="str">
        <f t="shared" si="0"/>
        <v>ĐÁ MARBLE WHITE WOODEN</v>
      </c>
      <c r="G31" s="88" t="s">
        <v>80</v>
      </c>
      <c r="H31" s="50" t="s">
        <v>139</v>
      </c>
      <c r="I31" s="53" t="s">
        <v>18</v>
      </c>
      <c r="J31" s="88" t="s">
        <v>68</v>
      </c>
      <c r="K31" s="88" t="s">
        <v>140</v>
      </c>
      <c r="L31" s="201" t="str">
        <f t="shared" si="1"/>
        <v>AAMB017</v>
      </c>
      <c r="M31" s="204">
        <f t="shared" si="2"/>
        <v>22</v>
      </c>
    </row>
    <row r="32" spans="1:13" hidden="1">
      <c r="A32" s="199">
        <v>31</v>
      </c>
      <c r="B32" s="50" t="s">
        <v>141</v>
      </c>
      <c r="C32" s="200" t="s">
        <v>13</v>
      </c>
      <c r="D32" s="201" t="s">
        <v>64</v>
      </c>
      <c r="E32" s="50" t="s">
        <v>142</v>
      </c>
      <c r="F32" s="50" t="str">
        <f t="shared" si="0"/>
        <v xml:space="preserve">ĐÁ MARBLE XANH NAPOLI </v>
      </c>
      <c r="G32" s="88" t="s">
        <v>80</v>
      </c>
      <c r="H32" s="50" t="s">
        <v>143</v>
      </c>
      <c r="I32" s="53" t="s">
        <v>18</v>
      </c>
      <c r="J32" s="88" t="s">
        <v>68</v>
      </c>
      <c r="K32" s="88" t="s">
        <v>144</v>
      </c>
      <c r="L32" s="201" t="str">
        <f t="shared" si="1"/>
        <v>AAMB018</v>
      </c>
      <c r="M32" s="204">
        <f t="shared" si="2"/>
        <v>22</v>
      </c>
    </row>
    <row r="33" spans="1:13" hidden="1">
      <c r="A33" s="199">
        <v>32</v>
      </c>
      <c r="B33" s="50" t="s">
        <v>145</v>
      </c>
      <c r="C33" s="200" t="s">
        <v>13</v>
      </c>
      <c r="D33" s="201" t="s">
        <v>64</v>
      </c>
      <c r="E33" s="50" t="s">
        <v>146</v>
      </c>
      <c r="F33" s="50" t="str">
        <f t="shared" si="0"/>
        <v>ĐÁ MARBLE BLACK FOREST</v>
      </c>
      <c r="G33" s="88" t="s">
        <v>80</v>
      </c>
      <c r="H33" s="50" t="s">
        <v>147</v>
      </c>
      <c r="I33" s="53" t="s">
        <v>18</v>
      </c>
      <c r="J33" s="88" t="s">
        <v>68</v>
      </c>
      <c r="K33" s="88" t="s">
        <v>148</v>
      </c>
      <c r="L33" s="201" t="str">
        <f t="shared" si="1"/>
        <v>AAMB020</v>
      </c>
      <c r="M33" s="204">
        <f t="shared" si="2"/>
        <v>22</v>
      </c>
    </row>
    <row r="34" spans="1:13" hidden="1">
      <c r="A34" s="199">
        <v>33</v>
      </c>
      <c r="B34" s="50" t="s">
        <v>149</v>
      </c>
      <c r="C34" s="200" t="s">
        <v>13</v>
      </c>
      <c r="D34" s="201" t="s">
        <v>64</v>
      </c>
      <c r="E34" s="50" t="s">
        <v>150</v>
      </c>
      <c r="F34" s="50" t="str">
        <f t="shared" ref="F34:F65" si="3">CONCATENATE(C34," ",D34," ",E34)</f>
        <v>ĐÁ MARBLE FOREST GREEN</v>
      </c>
      <c r="G34" s="88" t="s">
        <v>80</v>
      </c>
      <c r="H34" s="50" t="s">
        <v>151</v>
      </c>
      <c r="I34" s="53" t="s">
        <v>18</v>
      </c>
      <c r="J34" s="88" t="s">
        <v>68</v>
      </c>
      <c r="K34" s="88" t="s">
        <v>152</v>
      </c>
      <c r="L34" s="201" t="str">
        <f t="shared" ref="L34:L65" si="4">CONCATENATE(I34,"",J34,"",K34)</f>
        <v>AAMB023</v>
      </c>
      <c r="M34" s="204">
        <f t="shared" ref="M34:M65" si="5">LEN(F34)</f>
        <v>22</v>
      </c>
    </row>
    <row r="35" spans="1:13" hidden="1">
      <c r="A35" s="199">
        <v>34</v>
      </c>
      <c r="B35" s="50" t="s">
        <v>153</v>
      </c>
      <c r="C35" s="200" t="s">
        <v>13</v>
      </c>
      <c r="D35" s="201" t="s">
        <v>64</v>
      </c>
      <c r="E35" s="50" t="s">
        <v>154</v>
      </c>
      <c r="F35" s="50" t="str">
        <f t="shared" si="3"/>
        <v>ĐÁ MARBLE WOODEN BROWN</v>
      </c>
      <c r="G35" s="88" t="s">
        <v>72</v>
      </c>
      <c r="H35" s="50" t="s">
        <v>155</v>
      </c>
      <c r="I35" s="53" t="s">
        <v>18</v>
      </c>
      <c r="J35" s="88" t="s">
        <v>68</v>
      </c>
      <c r="K35" s="88" t="s">
        <v>156</v>
      </c>
      <c r="L35" s="201" t="str">
        <f t="shared" si="4"/>
        <v>AAMB037</v>
      </c>
      <c r="M35" s="204">
        <f t="shared" si="5"/>
        <v>22</v>
      </c>
    </row>
    <row r="36" spans="1:13" hidden="1">
      <c r="A36" s="199">
        <v>35</v>
      </c>
      <c r="B36" s="50" t="s">
        <v>157</v>
      </c>
      <c r="C36" s="200" t="s">
        <v>13</v>
      </c>
      <c r="D36" s="201" t="s">
        <v>64</v>
      </c>
      <c r="E36" s="50" t="s">
        <v>158</v>
      </c>
      <c r="F36" s="50" t="str">
        <f t="shared" si="3"/>
        <v>ĐÁ MARBLE GOLDEN BROWN</v>
      </c>
      <c r="G36" s="88" t="s">
        <v>72</v>
      </c>
      <c r="H36" s="50" t="s">
        <v>159</v>
      </c>
      <c r="I36" s="53" t="s">
        <v>18</v>
      </c>
      <c r="J36" s="88" t="s">
        <v>68</v>
      </c>
      <c r="K36" s="88" t="s">
        <v>160</v>
      </c>
      <c r="L36" s="201" t="str">
        <f t="shared" si="4"/>
        <v>AAMB041</v>
      </c>
      <c r="M36" s="204">
        <f t="shared" si="5"/>
        <v>22</v>
      </c>
    </row>
    <row r="37" spans="1:13">
      <c r="A37" s="199">
        <v>36</v>
      </c>
      <c r="B37" s="50" t="s">
        <v>161</v>
      </c>
      <c r="C37" s="200" t="s">
        <v>13</v>
      </c>
      <c r="D37" s="201" t="s">
        <v>64</v>
      </c>
      <c r="E37" s="50" t="s">
        <v>162</v>
      </c>
      <c r="F37" s="50" t="str">
        <f t="shared" si="3"/>
        <v>ĐÁ MARBLE AURORA GREY</v>
      </c>
      <c r="G37" s="88" t="s">
        <v>66</v>
      </c>
      <c r="H37" s="50" t="s">
        <v>163</v>
      </c>
      <c r="I37" s="53" t="s">
        <v>18</v>
      </c>
      <c r="J37" s="88" t="s">
        <v>68</v>
      </c>
      <c r="K37" s="88" t="s">
        <v>47</v>
      </c>
      <c r="L37" s="201" t="str">
        <f t="shared" si="4"/>
        <v>AAMB002</v>
      </c>
      <c r="M37" s="204">
        <f t="shared" si="5"/>
        <v>21</v>
      </c>
    </row>
    <row r="38" spans="1:13">
      <c r="A38" s="199">
        <v>37</v>
      </c>
      <c r="B38" s="50" t="s">
        <v>164</v>
      </c>
      <c r="C38" s="200" t="s">
        <v>13</v>
      </c>
      <c r="D38" s="201" t="s">
        <v>64</v>
      </c>
      <c r="E38" s="50" t="s">
        <v>165</v>
      </c>
      <c r="F38" s="50" t="str">
        <f t="shared" si="3"/>
        <v>ĐÁ MARBLE TURKEY GREY</v>
      </c>
      <c r="G38" s="88" t="s">
        <v>66</v>
      </c>
      <c r="H38" s="50" t="s">
        <v>166</v>
      </c>
      <c r="I38" s="53" t="s">
        <v>18</v>
      </c>
      <c r="J38" s="88" t="s">
        <v>68</v>
      </c>
      <c r="K38" s="88" t="s">
        <v>54</v>
      </c>
      <c r="L38" s="201" t="str">
        <f t="shared" si="4"/>
        <v>AAMB008</v>
      </c>
      <c r="M38" s="204">
        <f t="shared" si="5"/>
        <v>21</v>
      </c>
    </row>
    <row r="39" spans="1:13">
      <c r="A39" s="199">
        <v>38</v>
      </c>
      <c r="B39" s="50" t="s">
        <v>167</v>
      </c>
      <c r="C39" s="200" t="s">
        <v>13</v>
      </c>
      <c r="D39" s="201" t="s">
        <v>64</v>
      </c>
      <c r="E39" s="50" t="s">
        <v>168</v>
      </c>
      <c r="F39" s="50" t="str">
        <f t="shared" si="3"/>
        <v>ĐÁ MARBLE SANT LAUREN</v>
      </c>
      <c r="G39" s="88" t="s">
        <v>66</v>
      </c>
      <c r="H39" s="50" t="s">
        <v>169</v>
      </c>
      <c r="I39" s="53" t="s">
        <v>18</v>
      </c>
      <c r="J39" s="88" t="s">
        <v>68</v>
      </c>
      <c r="K39" s="88" t="s">
        <v>170</v>
      </c>
      <c r="L39" s="201" t="str">
        <f t="shared" si="4"/>
        <v>AAMB012</v>
      </c>
      <c r="M39" s="204">
        <f t="shared" si="5"/>
        <v>21</v>
      </c>
    </row>
    <row r="40" spans="1:13">
      <c r="A40" s="199">
        <v>39</v>
      </c>
      <c r="B40" s="50" t="s">
        <v>171</v>
      </c>
      <c r="C40" s="200" t="s">
        <v>13</v>
      </c>
      <c r="D40" s="201" t="s">
        <v>64</v>
      </c>
      <c r="E40" s="50" t="s">
        <v>172</v>
      </c>
      <c r="F40" s="50" t="str">
        <f t="shared" si="3"/>
        <v>ĐÁ MARBLE SATIN BEIGE</v>
      </c>
      <c r="G40" s="88" t="s">
        <v>66</v>
      </c>
      <c r="H40" s="50" t="s">
        <v>173</v>
      </c>
      <c r="I40" s="53" t="s">
        <v>18</v>
      </c>
      <c r="J40" s="88" t="s">
        <v>68</v>
      </c>
      <c r="K40" s="88" t="s">
        <v>174</v>
      </c>
      <c r="L40" s="201" t="str">
        <f t="shared" si="4"/>
        <v>AAMB013</v>
      </c>
      <c r="M40" s="204">
        <f t="shared" si="5"/>
        <v>21</v>
      </c>
    </row>
    <row r="41" spans="1:13">
      <c r="A41" s="199">
        <v>40</v>
      </c>
      <c r="B41" s="50" t="s">
        <v>175</v>
      </c>
      <c r="C41" s="200" t="s">
        <v>13</v>
      </c>
      <c r="D41" s="201" t="s">
        <v>64</v>
      </c>
      <c r="E41" s="50" t="s">
        <v>176</v>
      </c>
      <c r="F41" s="50" t="str">
        <f t="shared" si="3"/>
        <v>ĐÁ MARBLE SILVER GREY</v>
      </c>
      <c r="G41" s="88" t="s">
        <v>66</v>
      </c>
      <c r="H41" s="50" t="s">
        <v>177</v>
      </c>
      <c r="I41" s="53" t="s">
        <v>18</v>
      </c>
      <c r="J41" s="88" t="s">
        <v>68</v>
      </c>
      <c r="K41" s="88" t="s">
        <v>178</v>
      </c>
      <c r="L41" s="201" t="str">
        <f t="shared" si="4"/>
        <v>AAMB014</v>
      </c>
      <c r="M41" s="204">
        <f t="shared" si="5"/>
        <v>21</v>
      </c>
    </row>
    <row r="42" spans="1:13">
      <c r="A42" s="199">
        <v>41</v>
      </c>
      <c r="B42" s="50" t="s">
        <v>179</v>
      </c>
      <c r="C42" s="200" t="s">
        <v>13</v>
      </c>
      <c r="D42" s="201" t="s">
        <v>64</v>
      </c>
      <c r="E42" s="50" t="s">
        <v>180</v>
      </c>
      <c r="F42" s="50" t="str">
        <f t="shared" si="3"/>
        <v>ĐÁ MARBLE TUNDRA GREY</v>
      </c>
      <c r="G42" s="88" t="s">
        <v>66</v>
      </c>
      <c r="H42" s="50" t="s">
        <v>181</v>
      </c>
      <c r="I42" s="53" t="s">
        <v>18</v>
      </c>
      <c r="J42" s="88" t="s">
        <v>68</v>
      </c>
      <c r="K42" s="88" t="s">
        <v>182</v>
      </c>
      <c r="L42" s="201" t="str">
        <f t="shared" si="4"/>
        <v>AAMB015</v>
      </c>
      <c r="M42" s="204">
        <f t="shared" si="5"/>
        <v>21</v>
      </c>
    </row>
    <row r="43" spans="1:13">
      <c r="A43" s="199">
        <v>42</v>
      </c>
      <c r="B43" s="50" t="s">
        <v>183</v>
      </c>
      <c r="C43" s="200" t="s">
        <v>13</v>
      </c>
      <c r="D43" s="201" t="s">
        <v>64</v>
      </c>
      <c r="E43" s="50" t="s">
        <v>184</v>
      </c>
      <c r="F43" s="50" t="str">
        <f t="shared" si="3"/>
        <v>ĐÁ MARBLE HERMES GREY</v>
      </c>
      <c r="G43" s="88" t="s">
        <v>66</v>
      </c>
      <c r="H43" s="50" t="s">
        <v>185</v>
      </c>
      <c r="I43" s="53" t="s">
        <v>18</v>
      </c>
      <c r="J43" s="88" t="s">
        <v>68</v>
      </c>
      <c r="K43" s="88" t="s">
        <v>186</v>
      </c>
      <c r="L43" s="201" t="str">
        <f t="shared" si="4"/>
        <v>AAMB025</v>
      </c>
      <c r="M43" s="204">
        <f t="shared" si="5"/>
        <v>21</v>
      </c>
    </row>
    <row r="44" spans="1:13" hidden="1">
      <c r="A44" s="199">
        <v>43</v>
      </c>
      <c r="B44" s="50" t="s">
        <v>187</v>
      </c>
      <c r="C44" s="200" t="s">
        <v>13</v>
      </c>
      <c r="D44" s="201" t="s">
        <v>64</v>
      </c>
      <c r="E44" s="50" t="s">
        <v>188</v>
      </c>
      <c r="F44" s="50" t="str">
        <f t="shared" si="3"/>
        <v>ĐÁ MARBLE VENUS WHITE</v>
      </c>
      <c r="G44" s="88" t="s">
        <v>80</v>
      </c>
      <c r="H44" s="50" t="s">
        <v>189</v>
      </c>
      <c r="I44" s="53" t="s">
        <v>18</v>
      </c>
      <c r="J44" s="88" t="s">
        <v>68</v>
      </c>
      <c r="K44" s="88" t="s">
        <v>190</v>
      </c>
      <c r="L44" s="201" t="str">
        <f t="shared" si="4"/>
        <v>AAMB016</v>
      </c>
      <c r="M44" s="204">
        <f t="shared" si="5"/>
        <v>21</v>
      </c>
    </row>
    <row r="45" spans="1:13" hidden="1">
      <c r="A45" s="199">
        <v>44</v>
      </c>
      <c r="B45" s="50" t="s">
        <v>191</v>
      </c>
      <c r="C45" s="200" t="s">
        <v>13</v>
      </c>
      <c r="D45" s="201" t="s">
        <v>64</v>
      </c>
      <c r="E45" s="50" t="s">
        <v>192</v>
      </c>
      <c r="F45" s="50" t="str">
        <f t="shared" si="3"/>
        <v>ĐÁ MARBLE JAGUAR GREY</v>
      </c>
      <c r="G45" s="88" t="s">
        <v>80</v>
      </c>
      <c r="H45" s="50" t="s">
        <v>193</v>
      </c>
      <c r="I45" s="53" t="s">
        <v>18</v>
      </c>
      <c r="J45" s="88" t="s">
        <v>68</v>
      </c>
      <c r="K45" s="88" t="s">
        <v>194</v>
      </c>
      <c r="L45" s="201" t="str">
        <f t="shared" si="4"/>
        <v>AAMB019</v>
      </c>
      <c r="M45" s="204">
        <f t="shared" si="5"/>
        <v>21</v>
      </c>
    </row>
    <row r="46" spans="1:13" hidden="1">
      <c r="A46" s="199">
        <v>45</v>
      </c>
      <c r="B46" s="50" t="s">
        <v>195</v>
      </c>
      <c r="C46" s="200" t="s">
        <v>13</v>
      </c>
      <c r="D46" s="201" t="s">
        <v>64</v>
      </c>
      <c r="E46" s="50" t="s">
        <v>196</v>
      </c>
      <c r="F46" s="50" t="str">
        <f t="shared" si="3"/>
        <v>ĐÁ MARBLE GALAXY GREY</v>
      </c>
      <c r="G46" s="88" t="s">
        <v>80</v>
      </c>
      <c r="H46" s="50" t="s">
        <v>197</v>
      </c>
      <c r="I46" s="53" t="s">
        <v>18</v>
      </c>
      <c r="J46" s="88" t="s">
        <v>68</v>
      </c>
      <c r="K46" s="88" t="s">
        <v>198</v>
      </c>
      <c r="L46" s="201" t="str">
        <f t="shared" si="4"/>
        <v>AAMB024</v>
      </c>
      <c r="M46" s="204">
        <f t="shared" si="5"/>
        <v>21</v>
      </c>
    </row>
    <row r="47" spans="1:13" hidden="1">
      <c r="A47" s="199">
        <v>46</v>
      </c>
      <c r="B47" s="50" t="s">
        <v>199</v>
      </c>
      <c r="C47" s="200" t="s">
        <v>13</v>
      </c>
      <c r="D47" s="201" t="s">
        <v>64</v>
      </c>
      <c r="E47" s="50" t="s">
        <v>200</v>
      </c>
      <c r="F47" s="50" t="str">
        <f t="shared" si="3"/>
        <v>ĐÁ MARBLE MOLTON GREY</v>
      </c>
      <c r="G47" s="88" t="s">
        <v>72</v>
      </c>
      <c r="H47" s="50" t="s">
        <v>201</v>
      </c>
      <c r="I47" s="53" t="s">
        <v>18</v>
      </c>
      <c r="J47" s="88" t="s">
        <v>68</v>
      </c>
      <c r="K47" s="88" t="s">
        <v>202</v>
      </c>
      <c r="L47" s="201" t="str">
        <f t="shared" si="4"/>
        <v>AAMB026</v>
      </c>
      <c r="M47" s="204">
        <f t="shared" si="5"/>
        <v>21</v>
      </c>
    </row>
    <row r="48" spans="1:13" hidden="1">
      <c r="A48" s="199">
        <v>47</v>
      </c>
      <c r="B48" s="50" t="s">
        <v>203</v>
      </c>
      <c r="C48" s="200" t="s">
        <v>13</v>
      </c>
      <c r="D48" s="201" t="s">
        <v>64</v>
      </c>
      <c r="E48" s="50" t="s">
        <v>204</v>
      </c>
      <c r="F48" s="50" t="str">
        <f t="shared" si="3"/>
        <v>ĐÁ MARBLE SAVANA GREY</v>
      </c>
      <c r="G48" s="88" t="s">
        <v>72</v>
      </c>
      <c r="H48" s="50" t="s">
        <v>205</v>
      </c>
      <c r="I48" s="53" t="s">
        <v>18</v>
      </c>
      <c r="J48" s="88" t="s">
        <v>68</v>
      </c>
      <c r="K48" s="88" t="s">
        <v>206</v>
      </c>
      <c r="L48" s="201" t="str">
        <f t="shared" si="4"/>
        <v>AAMB027</v>
      </c>
      <c r="M48" s="204">
        <f t="shared" si="5"/>
        <v>21</v>
      </c>
    </row>
    <row r="49" spans="1:13" hidden="1">
      <c r="A49" s="199">
        <v>48</v>
      </c>
      <c r="B49" s="50" t="s">
        <v>207</v>
      </c>
      <c r="C49" s="200" t="s">
        <v>13</v>
      </c>
      <c r="D49" s="201" t="s">
        <v>64</v>
      </c>
      <c r="E49" s="50" t="s">
        <v>208</v>
      </c>
      <c r="F49" s="50" t="str">
        <f t="shared" si="3"/>
        <v>ĐÁ MARBLE PIETRA GREY</v>
      </c>
      <c r="G49" s="88" t="s">
        <v>72</v>
      </c>
      <c r="H49" s="50" t="s">
        <v>209</v>
      </c>
      <c r="I49" s="53" t="s">
        <v>18</v>
      </c>
      <c r="J49" s="88" t="s">
        <v>68</v>
      </c>
      <c r="K49" s="88" t="s">
        <v>210</v>
      </c>
      <c r="L49" s="201" t="str">
        <f t="shared" si="4"/>
        <v>AAMB030</v>
      </c>
      <c r="M49" s="204">
        <f t="shared" si="5"/>
        <v>21</v>
      </c>
    </row>
    <row r="50" spans="1:13" hidden="1">
      <c r="A50" s="199">
        <v>49</v>
      </c>
      <c r="B50" s="202">
        <v>100000000123</v>
      </c>
      <c r="C50" s="200" t="s">
        <v>13</v>
      </c>
      <c r="D50" s="201" t="s">
        <v>64</v>
      </c>
      <c r="E50" s="50" t="s">
        <v>211</v>
      </c>
      <c r="F50" s="50" t="str">
        <f t="shared" si="3"/>
        <v>ĐÁ MARBLE SAHARA NOIR</v>
      </c>
      <c r="G50" s="88" t="s">
        <v>72</v>
      </c>
      <c r="H50" s="50" t="s">
        <v>212</v>
      </c>
      <c r="I50" s="53" t="s">
        <v>18</v>
      </c>
      <c r="J50" s="88" t="s">
        <v>68</v>
      </c>
      <c r="K50" s="88" t="s">
        <v>213</v>
      </c>
      <c r="L50" s="201" t="str">
        <f t="shared" si="4"/>
        <v>AAMB038</v>
      </c>
      <c r="M50" s="204">
        <f t="shared" si="5"/>
        <v>21</v>
      </c>
    </row>
    <row r="51" spans="1:13">
      <c r="A51" s="199">
        <v>50</v>
      </c>
      <c r="B51" s="50" t="s">
        <v>214</v>
      </c>
      <c r="C51" s="200" t="s">
        <v>13</v>
      </c>
      <c r="D51" s="201" t="s">
        <v>64</v>
      </c>
      <c r="E51" s="50" t="s">
        <v>215</v>
      </c>
      <c r="F51" s="50" t="str">
        <f t="shared" si="3"/>
        <v>ĐÁ MARBLE OMAN BEIGE</v>
      </c>
      <c r="G51" s="88" t="s">
        <v>66</v>
      </c>
      <c r="H51" s="50" t="s">
        <v>216</v>
      </c>
      <c r="I51" s="53" t="s">
        <v>18</v>
      </c>
      <c r="J51" s="88" t="s">
        <v>68</v>
      </c>
      <c r="K51" s="88" t="s">
        <v>217</v>
      </c>
      <c r="L51" s="201" t="str">
        <f t="shared" si="4"/>
        <v>AAMB011</v>
      </c>
      <c r="M51" s="204">
        <f t="shared" si="5"/>
        <v>20</v>
      </c>
    </row>
    <row r="52" spans="1:13" hidden="1">
      <c r="A52" s="199">
        <v>51</v>
      </c>
      <c r="B52" s="50" t="s">
        <v>218</v>
      </c>
      <c r="C52" s="200" t="s">
        <v>13</v>
      </c>
      <c r="D52" s="201" t="s">
        <v>64</v>
      </c>
      <c r="E52" s="50" t="s">
        <v>219</v>
      </c>
      <c r="F52" s="50" t="str">
        <f t="shared" si="3"/>
        <v>ĐÁ MARBLE ARABESCATO</v>
      </c>
      <c r="G52" s="88" t="s">
        <v>80</v>
      </c>
      <c r="H52" s="50" t="s">
        <v>220</v>
      </c>
      <c r="I52" s="53" t="s">
        <v>18</v>
      </c>
      <c r="J52" s="88" t="s">
        <v>68</v>
      </c>
      <c r="K52" s="88" t="s">
        <v>20</v>
      </c>
      <c r="L52" s="201" t="str">
        <f t="shared" si="4"/>
        <v>AAMB001</v>
      </c>
      <c r="M52" s="204">
        <f t="shared" si="5"/>
        <v>20</v>
      </c>
    </row>
    <row r="53" spans="1:13" hidden="1">
      <c r="A53" s="199">
        <v>52</v>
      </c>
      <c r="B53" s="50" t="s">
        <v>221</v>
      </c>
      <c r="C53" s="200" t="s">
        <v>13</v>
      </c>
      <c r="D53" s="201" t="s">
        <v>64</v>
      </c>
      <c r="E53" s="50" t="s">
        <v>222</v>
      </c>
      <c r="F53" s="50" t="str">
        <f t="shared" si="3"/>
        <v>ĐÁ MARBLE ROYAL GREY</v>
      </c>
      <c r="G53" s="88" t="s">
        <v>72</v>
      </c>
      <c r="H53" s="50" t="s">
        <v>223</v>
      </c>
      <c r="I53" s="53" t="s">
        <v>18</v>
      </c>
      <c r="J53" s="88" t="s">
        <v>68</v>
      </c>
      <c r="K53" s="88" t="s">
        <v>224</v>
      </c>
      <c r="L53" s="201" t="str">
        <f t="shared" si="4"/>
        <v>AAMB046</v>
      </c>
      <c r="M53" s="204">
        <f t="shared" si="5"/>
        <v>20</v>
      </c>
    </row>
    <row r="54" spans="1:13" hidden="1">
      <c r="A54" s="199">
        <v>53</v>
      </c>
      <c r="B54" s="50" t="s">
        <v>225</v>
      </c>
      <c r="C54" s="200" t="s">
        <v>13</v>
      </c>
      <c r="D54" s="201" t="s">
        <v>64</v>
      </c>
      <c r="E54" s="50" t="s">
        <v>226</v>
      </c>
      <c r="F54" s="50" t="str">
        <f t="shared" si="3"/>
        <v>ĐÁ MARBLE MOON LIGHT</v>
      </c>
      <c r="G54" s="88" t="s">
        <v>72</v>
      </c>
      <c r="H54" s="50" t="s">
        <v>227</v>
      </c>
      <c r="I54" s="53" t="s">
        <v>18</v>
      </c>
      <c r="J54" s="88" t="s">
        <v>68</v>
      </c>
      <c r="K54" s="88" t="s">
        <v>228</v>
      </c>
      <c r="L54" s="201" t="str">
        <f t="shared" si="4"/>
        <v>AAMB047</v>
      </c>
      <c r="M54" s="204">
        <f t="shared" si="5"/>
        <v>20</v>
      </c>
    </row>
    <row r="55" spans="1:13" hidden="1">
      <c r="A55" s="199">
        <v>54</v>
      </c>
      <c r="B55" s="50" t="s">
        <v>229</v>
      </c>
      <c r="C55" s="200" t="s">
        <v>13</v>
      </c>
      <c r="D55" s="201" t="s">
        <v>64</v>
      </c>
      <c r="E55" s="50" t="s">
        <v>230</v>
      </c>
      <c r="F55" s="50" t="str">
        <f t="shared" si="3"/>
        <v>ĐÁ MARBLE AMAN BROWN</v>
      </c>
      <c r="G55" s="88" t="s">
        <v>104</v>
      </c>
      <c r="H55" s="50" t="s">
        <v>231</v>
      </c>
      <c r="I55" s="53" t="s">
        <v>18</v>
      </c>
      <c r="J55" s="88" t="s">
        <v>68</v>
      </c>
      <c r="K55" s="88" t="s">
        <v>232</v>
      </c>
      <c r="L55" s="201" t="str">
        <f t="shared" si="4"/>
        <v>AAMB044</v>
      </c>
      <c r="M55" s="204">
        <f t="shared" si="5"/>
        <v>20</v>
      </c>
    </row>
    <row r="56" spans="1:13" hidden="1">
      <c r="A56" s="199">
        <v>55</v>
      </c>
      <c r="B56" s="50" t="s">
        <v>233</v>
      </c>
      <c r="C56" s="200" t="s">
        <v>13</v>
      </c>
      <c r="D56" s="201" t="s">
        <v>64</v>
      </c>
      <c r="E56" s="50" t="s">
        <v>234</v>
      </c>
      <c r="F56" s="50" t="str">
        <f t="shared" si="3"/>
        <v>ĐÁ MARBLE EXUMA GREY</v>
      </c>
      <c r="G56" s="88" t="s">
        <v>104</v>
      </c>
      <c r="H56" s="50" t="s">
        <v>235</v>
      </c>
      <c r="I56" s="53" t="s">
        <v>18</v>
      </c>
      <c r="J56" s="88" t="s">
        <v>68</v>
      </c>
      <c r="K56" s="88" t="s">
        <v>236</v>
      </c>
      <c r="L56" s="201" t="str">
        <f t="shared" si="4"/>
        <v>AAMB050</v>
      </c>
      <c r="M56" s="204">
        <f t="shared" si="5"/>
        <v>20</v>
      </c>
    </row>
    <row r="57" spans="1:13" hidden="1">
      <c r="A57" s="199">
        <v>56</v>
      </c>
      <c r="B57" s="50" t="s">
        <v>237</v>
      </c>
      <c r="C57" s="200" t="s">
        <v>13</v>
      </c>
      <c r="D57" s="201" t="s">
        <v>64</v>
      </c>
      <c r="E57" s="50" t="s">
        <v>238</v>
      </c>
      <c r="F57" s="50" t="str">
        <f t="shared" si="3"/>
        <v>ĐÁ MARBLE TRAVENTINE</v>
      </c>
      <c r="G57" s="88" t="s">
        <v>88</v>
      </c>
      <c r="H57" s="50" t="s">
        <v>239</v>
      </c>
      <c r="I57" s="53" t="s">
        <v>18</v>
      </c>
      <c r="J57" s="88" t="s">
        <v>68</v>
      </c>
      <c r="K57" s="88" t="s">
        <v>240</v>
      </c>
      <c r="L57" s="201" t="str">
        <f t="shared" si="4"/>
        <v>AAMB033</v>
      </c>
      <c r="M57" s="204">
        <f t="shared" si="5"/>
        <v>20</v>
      </c>
    </row>
    <row r="58" spans="1:13" hidden="1">
      <c r="A58" s="199">
        <v>57</v>
      </c>
      <c r="B58" s="50" t="s">
        <v>241</v>
      </c>
      <c r="C58" s="200" t="s">
        <v>13</v>
      </c>
      <c r="D58" s="201" t="s">
        <v>64</v>
      </c>
      <c r="E58" s="50" t="s">
        <v>242</v>
      </c>
      <c r="F58" s="50" t="str">
        <f t="shared" si="3"/>
        <v>ĐÁ MARBLE GREY JADE</v>
      </c>
      <c r="G58" s="88" t="s">
        <v>72</v>
      </c>
      <c r="H58" s="50" t="s">
        <v>243</v>
      </c>
      <c r="I58" s="53" t="s">
        <v>18</v>
      </c>
      <c r="J58" s="88" t="s">
        <v>68</v>
      </c>
      <c r="K58" s="88" t="s">
        <v>244</v>
      </c>
      <c r="L58" s="201" t="str">
        <f t="shared" si="4"/>
        <v>AAMB042</v>
      </c>
      <c r="M58" s="204">
        <f t="shared" si="5"/>
        <v>19</v>
      </c>
    </row>
    <row r="59" spans="1:13" hidden="1">
      <c r="A59" s="199">
        <v>58</v>
      </c>
      <c r="B59" s="50" t="s">
        <v>245</v>
      </c>
      <c r="C59" s="200" t="s">
        <v>13</v>
      </c>
      <c r="D59" s="201" t="s">
        <v>64</v>
      </c>
      <c r="E59" s="50" t="s">
        <v>246</v>
      </c>
      <c r="F59" s="50" t="str">
        <f t="shared" si="3"/>
        <v>ĐÁ MARBLE BLUE ROMA</v>
      </c>
      <c r="G59" s="88" t="s">
        <v>104</v>
      </c>
      <c r="H59" s="50" t="s">
        <v>247</v>
      </c>
      <c r="I59" s="53" t="s">
        <v>18</v>
      </c>
      <c r="J59" s="88" t="s">
        <v>68</v>
      </c>
      <c r="K59" s="88" t="s">
        <v>248</v>
      </c>
      <c r="L59" s="201" t="str">
        <f t="shared" si="4"/>
        <v>AAMB051</v>
      </c>
      <c r="M59" s="204">
        <f t="shared" si="5"/>
        <v>19</v>
      </c>
    </row>
    <row r="60" spans="1:13" hidden="1">
      <c r="A60" s="199">
        <v>59</v>
      </c>
      <c r="B60" s="50" t="s">
        <v>249</v>
      </c>
      <c r="C60" s="200" t="s">
        <v>13</v>
      </c>
      <c r="D60" s="201" t="s">
        <v>64</v>
      </c>
      <c r="E60" s="50" t="s">
        <v>250</v>
      </c>
      <c r="F60" s="50" t="str">
        <f t="shared" si="3"/>
        <v>ĐÁ MARBLE STATURIO</v>
      </c>
      <c r="G60" s="88" t="s">
        <v>80</v>
      </c>
      <c r="H60" s="50" t="s">
        <v>251</v>
      </c>
      <c r="I60" s="53" t="s">
        <v>18</v>
      </c>
      <c r="J60" s="88" t="s">
        <v>68</v>
      </c>
      <c r="K60" s="88" t="s">
        <v>62</v>
      </c>
      <c r="L60" s="201" t="str">
        <f t="shared" si="4"/>
        <v>AAMB007</v>
      </c>
      <c r="M60" s="204">
        <f t="shared" si="5"/>
        <v>18</v>
      </c>
    </row>
    <row r="61" spans="1:13" hidden="1">
      <c r="A61" s="199">
        <v>60</v>
      </c>
      <c r="B61" s="202">
        <v>100001000589</v>
      </c>
      <c r="C61" s="200" t="s">
        <v>13</v>
      </c>
      <c r="D61" s="201" t="s">
        <v>64</v>
      </c>
      <c r="E61" s="50" t="s">
        <v>252</v>
      </c>
      <c r="F61" s="50" t="str">
        <f t="shared" si="3"/>
        <v>ĐÁ MARBLE FUSHION</v>
      </c>
      <c r="G61" s="88" t="s">
        <v>104</v>
      </c>
      <c r="H61" s="50" t="s">
        <v>253</v>
      </c>
      <c r="I61" s="53" t="s">
        <v>18</v>
      </c>
      <c r="J61" s="88" t="s">
        <v>68</v>
      </c>
      <c r="K61" s="88" t="s">
        <v>254</v>
      </c>
      <c r="L61" s="201" t="str">
        <f t="shared" si="4"/>
        <v>AAMB039</v>
      </c>
      <c r="M61" s="204">
        <f t="shared" si="5"/>
        <v>17</v>
      </c>
    </row>
    <row r="62" spans="1:13" hidden="1">
      <c r="A62" s="199">
        <v>61</v>
      </c>
      <c r="B62" s="50" t="s">
        <v>255</v>
      </c>
      <c r="C62" s="200" t="s">
        <v>13</v>
      </c>
      <c r="D62" s="201" t="s">
        <v>64</v>
      </c>
      <c r="E62" s="50" t="s">
        <v>256</v>
      </c>
      <c r="F62" s="50" t="str">
        <f t="shared" si="3"/>
        <v>ĐÁ MARBLE SOFITA</v>
      </c>
      <c r="G62" s="88" t="s">
        <v>72</v>
      </c>
      <c r="H62" s="50" t="s">
        <v>257</v>
      </c>
      <c r="I62" s="53" t="s">
        <v>18</v>
      </c>
      <c r="J62" s="88" t="s">
        <v>68</v>
      </c>
      <c r="K62" s="88" t="s">
        <v>258</v>
      </c>
      <c r="L62" s="201" t="str">
        <f t="shared" si="4"/>
        <v>AAMB032</v>
      </c>
      <c r="M62" s="204">
        <f t="shared" si="5"/>
        <v>16</v>
      </c>
    </row>
    <row r="63" spans="1:13" hidden="1">
      <c r="A63" s="199">
        <v>62</v>
      </c>
      <c r="B63" s="50" t="s">
        <v>259</v>
      </c>
      <c r="C63" s="200" t="s">
        <v>13</v>
      </c>
      <c r="D63" s="201" t="s">
        <v>64</v>
      </c>
      <c r="E63" s="50" t="s">
        <v>260</v>
      </c>
      <c r="F63" s="50" t="str">
        <f t="shared" si="3"/>
        <v>ĐÁ MARBLE PESCO</v>
      </c>
      <c r="G63" s="88" t="s">
        <v>80</v>
      </c>
      <c r="H63" s="50" t="s">
        <v>261</v>
      </c>
      <c r="I63" s="53" t="s">
        <v>18</v>
      </c>
      <c r="J63" s="88" t="s">
        <v>68</v>
      </c>
      <c r="K63" s="88" t="s">
        <v>262</v>
      </c>
      <c r="L63" s="201" t="str">
        <f t="shared" si="4"/>
        <v>AAMB029</v>
      </c>
      <c r="M63" s="204">
        <f t="shared" si="5"/>
        <v>15</v>
      </c>
    </row>
    <row r="64" spans="1:13" hidden="1">
      <c r="A64" s="199">
        <v>63</v>
      </c>
      <c r="B64" s="50" t="s">
        <v>263</v>
      </c>
      <c r="C64" s="200" t="s">
        <v>13</v>
      </c>
      <c r="D64" s="201" t="s">
        <v>264</v>
      </c>
      <c r="E64" s="50" t="s">
        <v>265</v>
      </c>
      <c r="F64" s="50" t="str">
        <f t="shared" si="3"/>
        <v>ĐÁ NUNG KẾT M08 MACHIA NHÁM</v>
      </c>
      <c r="G64" s="88" t="s">
        <v>266</v>
      </c>
      <c r="H64" s="50" t="s">
        <v>267</v>
      </c>
      <c r="I64" s="53" t="s">
        <v>18</v>
      </c>
      <c r="J64" s="88" t="s">
        <v>268</v>
      </c>
      <c r="K64" s="88" t="s">
        <v>20</v>
      </c>
      <c r="L64" s="201" t="str">
        <f t="shared" si="4"/>
        <v>AANK001</v>
      </c>
      <c r="M64" s="204">
        <f t="shared" si="5"/>
        <v>27</v>
      </c>
    </row>
    <row r="65" spans="1:13" hidden="1">
      <c r="A65" s="199">
        <v>64</v>
      </c>
      <c r="B65" s="50" t="s">
        <v>269</v>
      </c>
      <c r="C65" s="200" t="s">
        <v>13</v>
      </c>
      <c r="D65" s="201" t="s">
        <v>270</v>
      </c>
      <c r="E65" s="50" t="s">
        <v>271</v>
      </c>
      <c r="F65" s="50" t="str">
        <f t="shared" si="3"/>
        <v>ĐÁ ONYX HYMALYAN</v>
      </c>
      <c r="G65" s="88" t="s">
        <v>100</v>
      </c>
      <c r="H65" s="50" t="s">
        <v>272</v>
      </c>
      <c r="I65" s="53" t="s">
        <v>18</v>
      </c>
      <c r="J65" s="88" t="s">
        <v>273</v>
      </c>
      <c r="K65" s="88" t="s">
        <v>27</v>
      </c>
      <c r="L65" s="201" t="str">
        <f t="shared" si="4"/>
        <v>AAON003</v>
      </c>
      <c r="M65" s="204">
        <f t="shared" si="5"/>
        <v>16</v>
      </c>
    </row>
    <row r="66" spans="1:13" hidden="1">
      <c r="A66" s="199">
        <v>65</v>
      </c>
      <c r="B66" s="50" t="s">
        <v>274</v>
      </c>
      <c r="C66" s="200" t="s">
        <v>13</v>
      </c>
      <c r="D66" s="201" t="s">
        <v>270</v>
      </c>
      <c r="E66" s="50" t="s">
        <v>275</v>
      </c>
      <c r="F66" s="50" t="str">
        <f t="shared" ref="F66:F95" si="6">CONCATENATE(C66," ",D66," ",E66)</f>
        <v>ĐÁ ONYX RAINBOW</v>
      </c>
      <c r="G66" s="88" t="s">
        <v>100</v>
      </c>
      <c r="H66" s="50" t="s">
        <v>276</v>
      </c>
      <c r="I66" s="53" t="s">
        <v>18</v>
      </c>
      <c r="J66" s="88" t="s">
        <v>273</v>
      </c>
      <c r="K66" s="88" t="s">
        <v>20</v>
      </c>
      <c r="L66" s="201" t="str">
        <f t="shared" ref="L66:L95" si="7">CONCATENATE(I66,"",J66,"",K66)</f>
        <v>AAON001</v>
      </c>
      <c r="M66" s="204">
        <f t="shared" ref="M66:M95" si="8">LEN(F66)</f>
        <v>15</v>
      </c>
    </row>
    <row r="67" spans="1:13" hidden="1">
      <c r="A67" s="199">
        <v>66</v>
      </c>
      <c r="B67" s="50" t="s">
        <v>277</v>
      </c>
      <c r="C67" s="200" t="s">
        <v>13</v>
      </c>
      <c r="D67" s="201" t="s">
        <v>270</v>
      </c>
      <c r="E67" s="50" t="s">
        <v>278</v>
      </c>
      <c r="F67" s="50" t="str">
        <f t="shared" si="6"/>
        <v>ĐÁ ONYX WHITE</v>
      </c>
      <c r="G67" s="88" t="s">
        <v>100</v>
      </c>
      <c r="H67" s="50" t="s">
        <v>279</v>
      </c>
      <c r="I67" s="53" t="s">
        <v>18</v>
      </c>
      <c r="J67" s="88" t="s">
        <v>273</v>
      </c>
      <c r="K67" s="88" t="s">
        <v>47</v>
      </c>
      <c r="L67" s="201" t="str">
        <f t="shared" si="7"/>
        <v>AAON002</v>
      </c>
      <c r="M67" s="204">
        <f t="shared" si="8"/>
        <v>13</v>
      </c>
    </row>
    <row r="68" spans="1:13" hidden="1">
      <c r="A68" s="199">
        <v>67</v>
      </c>
      <c r="B68" s="50" t="s">
        <v>280</v>
      </c>
      <c r="C68" s="200" t="s">
        <v>13</v>
      </c>
      <c r="D68" s="201" t="s">
        <v>281</v>
      </c>
      <c r="E68" s="50" t="s">
        <v>282</v>
      </c>
      <c r="F68" s="50" t="str">
        <f t="shared" si="6"/>
        <v>ĐÁ QUARTZ S104VN22M1 THẠCH ANH VÀNG NGỌC</v>
      </c>
      <c r="G68" s="88" t="s">
        <v>283</v>
      </c>
      <c r="H68" s="50" t="s">
        <v>284</v>
      </c>
      <c r="I68" s="53" t="s">
        <v>18</v>
      </c>
      <c r="J68" s="88" t="s">
        <v>285</v>
      </c>
      <c r="K68" s="88" t="s">
        <v>202</v>
      </c>
      <c r="L68" s="201" t="str">
        <f t="shared" si="7"/>
        <v>AAQU026</v>
      </c>
      <c r="M68" s="204">
        <f t="shared" si="8"/>
        <v>40</v>
      </c>
    </row>
    <row r="69" spans="1:13" hidden="1">
      <c r="A69" s="199">
        <v>68</v>
      </c>
      <c r="B69" s="50" t="s">
        <v>286</v>
      </c>
      <c r="C69" s="200" t="s">
        <v>13</v>
      </c>
      <c r="D69" s="201" t="s">
        <v>281</v>
      </c>
      <c r="E69" s="50" t="s">
        <v>287</v>
      </c>
      <c r="F69" s="50" t="str">
        <f t="shared" si="6"/>
        <v>ĐÁ QUARTZ BQ8920 VICOSTONE FORZA</v>
      </c>
      <c r="G69" s="88" t="s">
        <v>283</v>
      </c>
      <c r="H69" s="50" t="s">
        <v>288</v>
      </c>
      <c r="I69" s="53" t="s">
        <v>18</v>
      </c>
      <c r="J69" s="88" t="s">
        <v>285</v>
      </c>
      <c r="K69" s="88" t="s">
        <v>69</v>
      </c>
      <c r="L69" s="201" t="str">
        <f t="shared" si="7"/>
        <v>AAQU021</v>
      </c>
      <c r="M69" s="204">
        <f t="shared" si="8"/>
        <v>32</v>
      </c>
    </row>
    <row r="70" spans="1:13" hidden="1">
      <c r="A70" s="199">
        <v>69</v>
      </c>
      <c r="B70" s="50" t="s">
        <v>289</v>
      </c>
      <c r="C70" s="200" t="s">
        <v>13</v>
      </c>
      <c r="D70" s="201" t="s">
        <v>281</v>
      </c>
      <c r="E70" s="50" t="s">
        <v>290</v>
      </c>
      <c r="F70" s="50" t="str">
        <f t="shared" si="6"/>
        <v>ĐÁ QUARTZ PQ169 CALACATTA GOLD</v>
      </c>
      <c r="G70" s="88" t="s">
        <v>283</v>
      </c>
      <c r="H70" s="50" t="s">
        <v>291</v>
      </c>
      <c r="I70" s="53" t="s">
        <v>18</v>
      </c>
      <c r="J70" s="88" t="s">
        <v>285</v>
      </c>
      <c r="K70" s="88" t="s">
        <v>62</v>
      </c>
      <c r="L70" s="201" t="str">
        <f t="shared" si="7"/>
        <v>AAQU007</v>
      </c>
      <c r="M70" s="204">
        <f t="shared" si="8"/>
        <v>30</v>
      </c>
    </row>
    <row r="71" spans="1:13" hidden="1">
      <c r="A71" s="199">
        <v>70</v>
      </c>
      <c r="B71" s="50" t="s">
        <v>292</v>
      </c>
      <c r="C71" s="200" t="s">
        <v>13</v>
      </c>
      <c r="D71" s="201" t="s">
        <v>281</v>
      </c>
      <c r="E71" s="50" t="s">
        <v>293</v>
      </c>
      <c r="F71" s="50" t="str">
        <f t="shared" si="6"/>
        <v>ĐÁ QUARTZ BQ2600 VALLEY WHITE</v>
      </c>
      <c r="G71" s="88" t="s">
        <v>283</v>
      </c>
      <c r="H71" s="50" t="s">
        <v>294</v>
      </c>
      <c r="I71" s="53" t="s">
        <v>18</v>
      </c>
      <c r="J71" s="88" t="s">
        <v>285</v>
      </c>
      <c r="K71" s="88" t="s">
        <v>217</v>
      </c>
      <c r="L71" s="201" t="str">
        <f t="shared" si="7"/>
        <v>AAQU011</v>
      </c>
      <c r="M71" s="204">
        <f t="shared" si="8"/>
        <v>29</v>
      </c>
    </row>
    <row r="72" spans="1:13" hidden="1">
      <c r="A72" s="199">
        <v>71</v>
      </c>
      <c r="B72" s="202">
        <v>100001000611</v>
      </c>
      <c r="C72" s="200" t="s">
        <v>13</v>
      </c>
      <c r="D72" s="201" t="s">
        <v>281</v>
      </c>
      <c r="E72" s="50" t="s">
        <v>295</v>
      </c>
      <c r="F72" s="50" t="str">
        <f t="shared" si="6"/>
        <v>ĐÁ QUARTZ C4246 CASLA MYSTERY</v>
      </c>
      <c r="G72" s="88" t="s">
        <v>283</v>
      </c>
      <c r="H72" s="50" t="s">
        <v>296</v>
      </c>
      <c r="I72" s="53" t="s">
        <v>18</v>
      </c>
      <c r="J72" s="88" t="s">
        <v>285</v>
      </c>
      <c r="K72" s="88" t="s">
        <v>117</v>
      </c>
      <c r="L72" s="201" t="str">
        <f t="shared" si="7"/>
        <v>AAQU022</v>
      </c>
      <c r="M72" s="204">
        <f t="shared" si="8"/>
        <v>29</v>
      </c>
    </row>
    <row r="73" spans="1:13" hidden="1">
      <c r="A73" s="199">
        <v>72</v>
      </c>
      <c r="B73" s="50" t="s">
        <v>297</v>
      </c>
      <c r="C73" s="200" t="s">
        <v>13</v>
      </c>
      <c r="D73" s="201" t="s">
        <v>281</v>
      </c>
      <c r="E73" s="50" t="s">
        <v>298</v>
      </c>
      <c r="F73" s="50" t="str">
        <f t="shared" si="6"/>
        <v>ĐÁ QUARTZ QS306 CARRARA OCEAN</v>
      </c>
      <c r="G73" s="88" t="s">
        <v>283</v>
      </c>
      <c r="H73" s="50" t="s">
        <v>299</v>
      </c>
      <c r="I73" s="53" t="s">
        <v>18</v>
      </c>
      <c r="J73" s="88" t="s">
        <v>285</v>
      </c>
      <c r="K73" s="88" t="s">
        <v>152</v>
      </c>
      <c r="L73" s="201" t="str">
        <f t="shared" si="7"/>
        <v>AAQU023</v>
      </c>
      <c r="M73" s="204">
        <f t="shared" si="8"/>
        <v>29</v>
      </c>
    </row>
    <row r="74" spans="1:13" hidden="1">
      <c r="A74" s="199">
        <v>73</v>
      </c>
      <c r="B74" s="50" t="s">
        <v>300</v>
      </c>
      <c r="C74" s="200" t="s">
        <v>13</v>
      </c>
      <c r="D74" s="201" t="s">
        <v>281</v>
      </c>
      <c r="E74" s="50" t="s">
        <v>301</v>
      </c>
      <c r="F74" s="50" t="str">
        <f t="shared" si="6"/>
        <v>ĐÁ QUARTZ  6131 BIANCO DRIFT</v>
      </c>
      <c r="G74" s="88" t="s">
        <v>283</v>
      </c>
      <c r="H74" s="50" t="s">
        <v>302</v>
      </c>
      <c r="I74" s="53" t="s">
        <v>18</v>
      </c>
      <c r="J74" s="88" t="s">
        <v>285</v>
      </c>
      <c r="K74" s="88" t="s">
        <v>20</v>
      </c>
      <c r="L74" s="201" t="str">
        <f t="shared" si="7"/>
        <v>AAQU001</v>
      </c>
      <c r="M74" s="204">
        <f t="shared" si="8"/>
        <v>28</v>
      </c>
    </row>
    <row r="75" spans="1:13" hidden="1">
      <c r="A75" s="199">
        <v>74</v>
      </c>
      <c r="B75" s="50" t="s">
        <v>303</v>
      </c>
      <c r="C75" s="200" t="s">
        <v>13</v>
      </c>
      <c r="D75" s="201" t="s">
        <v>281</v>
      </c>
      <c r="E75" s="50" t="s">
        <v>304</v>
      </c>
      <c r="F75" s="50" t="str">
        <f t="shared" si="6"/>
        <v>ĐÁ QUARTZ BQ370 SHELLS WHITE</v>
      </c>
      <c r="G75" s="88" t="s">
        <v>283</v>
      </c>
      <c r="H75" s="50" t="s">
        <v>305</v>
      </c>
      <c r="I75" s="53" t="s">
        <v>18</v>
      </c>
      <c r="J75" s="88" t="s">
        <v>285</v>
      </c>
      <c r="K75" s="88" t="s">
        <v>47</v>
      </c>
      <c r="L75" s="201" t="str">
        <f t="shared" si="7"/>
        <v>AAQU002</v>
      </c>
      <c r="M75" s="204">
        <f t="shared" si="8"/>
        <v>28</v>
      </c>
    </row>
    <row r="76" spans="1:13" hidden="1">
      <c r="A76" s="199">
        <v>75</v>
      </c>
      <c r="B76" s="50" t="s">
        <v>306</v>
      </c>
      <c r="C76" s="200" t="s">
        <v>13</v>
      </c>
      <c r="D76" s="201" t="s">
        <v>281</v>
      </c>
      <c r="E76" s="50" t="s">
        <v>307</v>
      </c>
      <c r="F76" s="50" t="str">
        <f t="shared" si="6"/>
        <v>ĐÁ QUARTZ BQ9310 SILVER SEA</v>
      </c>
      <c r="G76" s="88" t="s">
        <v>283</v>
      </c>
      <c r="H76" s="50" t="s">
        <v>308</v>
      </c>
      <c r="I76" s="53" t="s">
        <v>18</v>
      </c>
      <c r="J76" s="88" t="s">
        <v>285</v>
      </c>
      <c r="K76" s="88" t="s">
        <v>58</v>
      </c>
      <c r="L76" s="201" t="str">
        <f t="shared" si="7"/>
        <v>AAQU005</v>
      </c>
      <c r="M76" s="204">
        <f t="shared" si="8"/>
        <v>27</v>
      </c>
    </row>
    <row r="77" spans="1:13" hidden="1">
      <c r="A77" s="199">
        <v>76</v>
      </c>
      <c r="B77" s="50" t="s">
        <v>309</v>
      </c>
      <c r="C77" s="200" t="s">
        <v>13</v>
      </c>
      <c r="D77" s="201" t="s">
        <v>281</v>
      </c>
      <c r="E77" s="50" t="s">
        <v>310</v>
      </c>
      <c r="F77" s="50" t="str">
        <f t="shared" si="6"/>
        <v>ĐÁ QUARTZ QS525 AURORA SNOW</v>
      </c>
      <c r="G77" s="88" t="s">
        <v>283</v>
      </c>
      <c r="H77" s="50" t="s">
        <v>311</v>
      </c>
      <c r="I77" s="53" t="s">
        <v>18</v>
      </c>
      <c r="J77" s="88" t="s">
        <v>285</v>
      </c>
      <c r="K77" s="88" t="s">
        <v>190</v>
      </c>
      <c r="L77" s="201" t="str">
        <f t="shared" si="7"/>
        <v>AAQU016</v>
      </c>
      <c r="M77" s="204">
        <f t="shared" si="8"/>
        <v>27</v>
      </c>
    </row>
    <row r="78" spans="1:13" hidden="1">
      <c r="A78" s="199">
        <v>77</v>
      </c>
      <c r="B78" s="50" t="s">
        <v>312</v>
      </c>
      <c r="C78" s="200" t="s">
        <v>13</v>
      </c>
      <c r="D78" s="201" t="s">
        <v>281</v>
      </c>
      <c r="E78" s="50" t="s">
        <v>313</v>
      </c>
      <c r="F78" s="50" t="str">
        <f t="shared" si="6"/>
        <v>ĐÁ QUARTZ QS503 SNOW WHITE</v>
      </c>
      <c r="G78" s="88" t="s">
        <v>283</v>
      </c>
      <c r="H78" s="50" t="s">
        <v>314</v>
      </c>
      <c r="I78" s="53" t="s">
        <v>18</v>
      </c>
      <c r="J78" s="88" t="s">
        <v>285</v>
      </c>
      <c r="K78" s="88" t="s">
        <v>194</v>
      </c>
      <c r="L78" s="201" t="str">
        <f t="shared" si="7"/>
        <v>AAQU019</v>
      </c>
      <c r="M78" s="204">
        <f t="shared" si="8"/>
        <v>26</v>
      </c>
    </row>
    <row r="79" spans="1:13" hidden="1">
      <c r="A79" s="199">
        <v>78</v>
      </c>
      <c r="B79" s="50" t="s">
        <v>315</v>
      </c>
      <c r="C79" s="200" t="s">
        <v>13</v>
      </c>
      <c r="D79" s="201" t="s">
        <v>281</v>
      </c>
      <c r="E79" s="50" t="s">
        <v>316</v>
      </c>
      <c r="F79" s="50" t="str">
        <f t="shared" si="6"/>
        <v>ĐÁ QUARTZ PS350 STORM GREY</v>
      </c>
      <c r="G79" s="88" t="s">
        <v>283</v>
      </c>
      <c r="H79" s="50" t="s">
        <v>317</v>
      </c>
      <c r="I79" s="53" t="s">
        <v>18</v>
      </c>
      <c r="J79" s="88" t="s">
        <v>285</v>
      </c>
      <c r="K79" s="88" t="s">
        <v>148</v>
      </c>
      <c r="L79" s="201" t="str">
        <f t="shared" si="7"/>
        <v>AAQU020</v>
      </c>
      <c r="M79" s="204">
        <f t="shared" si="8"/>
        <v>26</v>
      </c>
    </row>
    <row r="80" spans="1:13" hidden="1">
      <c r="A80" s="199">
        <v>79</v>
      </c>
      <c r="B80" s="50" t="s">
        <v>318</v>
      </c>
      <c r="C80" s="200" t="s">
        <v>13</v>
      </c>
      <c r="D80" s="201" t="s">
        <v>281</v>
      </c>
      <c r="E80" s="50" t="s">
        <v>319</v>
      </c>
      <c r="F80" s="50" t="str">
        <f t="shared" si="6"/>
        <v>ĐÁ QUARTZ BQ8815 MISTERIO</v>
      </c>
      <c r="G80" s="88" t="s">
        <v>283</v>
      </c>
      <c r="H80" s="50" t="s">
        <v>320</v>
      </c>
      <c r="I80" s="53" t="s">
        <v>18</v>
      </c>
      <c r="J80" s="88" t="s">
        <v>285</v>
      </c>
      <c r="K80" s="88" t="s">
        <v>27</v>
      </c>
      <c r="L80" s="201" t="str">
        <f t="shared" si="7"/>
        <v>AAQU003</v>
      </c>
      <c r="M80" s="204">
        <f t="shared" si="8"/>
        <v>25</v>
      </c>
    </row>
    <row r="81" spans="1:13" hidden="1">
      <c r="A81" s="199">
        <v>80</v>
      </c>
      <c r="B81" s="50" t="s">
        <v>321</v>
      </c>
      <c r="C81" s="200" t="s">
        <v>13</v>
      </c>
      <c r="D81" s="201" t="s">
        <v>281</v>
      </c>
      <c r="E81" s="50" t="s">
        <v>322</v>
      </c>
      <c r="F81" s="50" t="str">
        <f t="shared" si="6"/>
        <v>ĐÁ QUARTZ C4204 CALACATTA</v>
      </c>
      <c r="G81" s="88" t="s">
        <v>283</v>
      </c>
      <c r="H81" s="50" t="s">
        <v>323</v>
      </c>
      <c r="I81" s="53" t="s">
        <v>18</v>
      </c>
      <c r="J81" s="88" t="s">
        <v>285</v>
      </c>
      <c r="K81" s="88" t="s">
        <v>51</v>
      </c>
      <c r="L81" s="201" t="str">
        <f t="shared" si="7"/>
        <v>AAQU004</v>
      </c>
      <c r="M81" s="204">
        <f t="shared" si="8"/>
        <v>25</v>
      </c>
    </row>
    <row r="82" spans="1:13" hidden="1">
      <c r="A82" s="199">
        <v>81</v>
      </c>
      <c r="B82" s="50" t="s">
        <v>324</v>
      </c>
      <c r="C82" s="200" t="s">
        <v>13</v>
      </c>
      <c r="D82" s="201" t="s">
        <v>281</v>
      </c>
      <c r="E82" s="50" t="s">
        <v>325</v>
      </c>
      <c r="F82" s="50" t="str">
        <f t="shared" si="6"/>
        <v>ĐÁ QUARTZ BS4010 CAMELLA</v>
      </c>
      <c r="G82" s="88" t="s">
        <v>283</v>
      </c>
      <c r="H82" s="50" t="s">
        <v>326</v>
      </c>
      <c r="I82" s="53" t="s">
        <v>18</v>
      </c>
      <c r="J82" s="88" t="s">
        <v>285</v>
      </c>
      <c r="K82" s="88" t="s">
        <v>178</v>
      </c>
      <c r="L82" s="201" t="str">
        <f t="shared" si="7"/>
        <v>AAQU014</v>
      </c>
      <c r="M82" s="204">
        <f t="shared" si="8"/>
        <v>24</v>
      </c>
    </row>
    <row r="83" spans="1:13" hidden="1">
      <c r="A83" s="199">
        <v>82</v>
      </c>
      <c r="B83" s="50" t="s">
        <v>327</v>
      </c>
      <c r="C83" s="200" t="s">
        <v>13</v>
      </c>
      <c r="D83" s="201" t="s">
        <v>281</v>
      </c>
      <c r="E83" s="50" t="s">
        <v>328</v>
      </c>
      <c r="F83" s="50" t="str">
        <f t="shared" si="6"/>
        <v>ĐÁ QUARTZ BQ 8805 CENDRE</v>
      </c>
      <c r="G83" s="88" t="s">
        <v>283</v>
      </c>
      <c r="H83" s="50" t="s">
        <v>329</v>
      </c>
      <c r="I83" s="53" t="s">
        <v>18</v>
      </c>
      <c r="J83" s="88" t="s">
        <v>285</v>
      </c>
      <c r="K83" s="88" t="s">
        <v>140</v>
      </c>
      <c r="L83" s="201" t="str">
        <f t="shared" si="7"/>
        <v>AAQU017</v>
      </c>
      <c r="M83" s="204">
        <f t="shared" si="8"/>
        <v>24</v>
      </c>
    </row>
    <row r="84" spans="1:13" hidden="1">
      <c r="A84" s="199">
        <v>83</v>
      </c>
      <c r="B84" s="50" t="s">
        <v>330</v>
      </c>
      <c r="C84" s="200" t="s">
        <v>13</v>
      </c>
      <c r="D84" s="201" t="s">
        <v>281</v>
      </c>
      <c r="E84" s="50" t="s">
        <v>331</v>
      </c>
      <c r="F84" s="50" t="str">
        <f t="shared" si="6"/>
        <v>ĐÁ QUARTZ AV022 ARISTON</v>
      </c>
      <c r="G84" s="88" t="s">
        <v>283</v>
      </c>
      <c r="H84" s="50" t="s">
        <v>332</v>
      </c>
      <c r="I84" s="53" t="s">
        <v>18</v>
      </c>
      <c r="J84" s="88" t="s">
        <v>285</v>
      </c>
      <c r="K84" s="88" t="s">
        <v>43</v>
      </c>
      <c r="L84" s="201" t="str">
        <f t="shared" si="7"/>
        <v>AAQU010</v>
      </c>
      <c r="M84" s="204">
        <f t="shared" si="8"/>
        <v>23</v>
      </c>
    </row>
    <row r="85" spans="1:13" hidden="1">
      <c r="A85" s="199">
        <v>84</v>
      </c>
      <c r="B85" s="50" t="s">
        <v>333</v>
      </c>
      <c r="C85" s="200" t="s">
        <v>13</v>
      </c>
      <c r="D85" s="201" t="s">
        <v>281</v>
      </c>
      <c r="E85" s="50" t="s">
        <v>334</v>
      </c>
      <c r="F85" s="50" t="str">
        <f t="shared" si="6"/>
        <v>ĐÁ QUARTZ BQ2605 DENALI</v>
      </c>
      <c r="G85" s="88" t="s">
        <v>283</v>
      </c>
      <c r="H85" s="50" t="s">
        <v>335</v>
      </c>
      <c r="I85" s="53" t="s">
        <v>18</v>
      </c>
      <c r="J85" s="88" t="s">
        <v>285</v>
      </c>
      <c r="K85" s="88" t="s">
        <v>170</v>
      </c>
      <c r="L85" s="201" t="str">
        <f t="shared" si="7"/>
        <v>AAQU012</v>
      </c>
      <c r="M85" s="204">
        <f t="shared" si="8"/>
        <v>23</v>
      </c>
    </row>
    <row r="86" spans="1:13" hidden="1">
      <c r="A86" s="199">
        <v>85</v>
      </c>
      <c r="B86" s="50" t="s">
        <v>336</v>
      </c>
      <c r="C86" s="200" t="s">
        <v>13</v>
      </c>
      <c r="D86" s="201" t="s">
        <v>281</v>
      </c>
      <c r="E86" s="50" t="s">
        <v>337</v>
      </c>
      <c r="F86" s="50" t="str">
        <f t="shared" si="6"/>
        <v>ĐÁ QUARTZ C1026 POLAR</v>
      </c>
      <c r="G86" s="88" t="s">
        <v>283</v>
      </c>
      <c r="H86" s="50" t="s">
        <v>338</v>
      </c>
      <c r="I86" s="53" t="s">
        <v>18</v>
      </c>
      <c r="J86" s="88" t="s">
        <v>285</v>
      </c>
      <c r="K86" s="88" t="s">
        <v>39</v>
      </c>
      <c r="L86" s="201" t="str">
        <f t="shared" si="7"/>
        <v>AAQU006</v>
      </c>
      <c r="M86" s="204">
        <f t="shared" si="8"/>
        <v>21</v>
      </c>
    </row>
    <row r="87" spans="1:13" hidden="1">
      <c r="A87" s="199">
        <v>86</v>
      </c>
      <c r="B87" s="50" t="s">
        <v>339</v>
      </c>
      <c r="C87" s="200" t="s">
        <v>13</v>
      </c>
      <c r="D87" s="201" t="s">
        <v>281</v>
      </c>
      <c r="E87" s="50" t="s">
        <v>340</v>
      </c>
      <c r="F87" s="50" t="str">
        <f t="shared" si="6"/>
        <v>ĐÁ QUARTZ RSN4003</v>
      </c>
      <c r="G87" s="88" t="s">
        <v>283</v>
      </c>
      <c r="H87" s="50" t="s">
        <v>341</v>
      </c>
      <c r="I87" s="53" t="s">
        <v>18</v>
      </c>
      <c r="J87" s="88" t="s">
        <v>285</v>
      </c>
      <c r="K87" s="88" t="s">
        <v>198</v>
      </c>
      <c r="L87" s="201" t="str">
        <f t="shared" si="7"/>
        <v>AAQU024</v>
      </c>
      <c r="M87" s="204">
        <f t="shared" si="8"/>
        <v>17</v>
      </c>
    </row>
    <row r="88" spans="1:13" hidden="1">
      <c r="A88" s="199">
        <v>87</v>
      </c>
      <c r="B88" s="50" t="s">
        <v>342</v>
      </c>
      <c r="C88" s="200" t="s">
        <v>13</v>
      </c>
      <c r="D88" s="201" t="s">
        <v>281</v>
      </c>
      <c r="E88" s="50" t="s">
        <v>343</v>
      </c>
      <c r="F88" s="50" t="str">
        <f t="shared" si="6"/>
        <v>ĐÁ QUARTZ RSV3230</v>
      </c>
      <c r="G88" s="88" t="s">
        <v>283</v>
      </c>
      <c r="H88" s="50" t="s">
        <v>344</v>
      </c>
      <c r="I88" s="53" t="s">
        <v>18</v>
      </c>
      <c r="J88" s="88" t="s">
        <v>285</v>
      </c>
      <c r="K88" s="88" t="s">
        <v>85</v>
      </c>
      <c r="L88" s="201" t="str">
        <f t="shared" si="7"/>
        <v>AAQU028</v>
      </c>
      <c r="M88" s="204">
        <f t="shared" si="8"/>
        <v>17</v>
      </c>
    </row>
    <row r="89" spans="1:13" hidden="1">
      <c r="A89" s="199">
        <v>88</v>
      </c>
      <c r="B89" s="50" t="s">
        <v>345</v>
      </c>
      <c r="C89" s="200" t="s">
        <v>13</v>
      </c>
      <c r="D89" s="201" t="s">
        <v>281</v>
      </c>
      <c r="E89" s="50" t="s">
        <v>346</v>
      </c>
      <c r="F89" s="50" t="str">
        <f t="shared" si="6"/>
        <v>ĐÁ QUARTZ RC4072</v>
      </c>
      <c r="G89" s="88" t="s">
        <v>283</v>
      </c>
      <c r="H89" s="50" t="s">
        <v>347</v>
      </c>
      <c r="I89" s="53" t="s">
        <v>18</v>
      </c>
      <c r="J89" s="88" t="s">
        <v>285</v>
      </c>
      <c r="K89" s="88" t="s">
        <v>34</v>
      </c>
      <c r="L89" s="201" t="str">
        <f t="shared" si="7"/>
        <v>AAQU009</v>
      </c>
      <c r="M89" s="204">
        <f t="shared" si="8"/>
        <v>16</v>
      </c>
    </row>
    <row r="90" spans="1:13" hidden="1">
      <c r="A90" s="199">
        <v>89</v>
      </c>
      <c r="B90" s="50" t="s">
        <v>348</v>
      </c>
      <c r="C90" s="200" t="s">
        <v>13</v>
      </c>
      <c r="D90" s="201" t="s">
        <v>281</v>
      </c>
      <c r="E90" s="50" t="s">
        <v>349</v>
      </c>
      <c r="F90" s="50" t="str">
        <f t="shared" si="6"/>
        <v>ĐÁ QUARTZ BQ2607</v>
      </c>
      <c r="G90" s="88" t="s">
        <v>283</v>
      </c>
      <c r="H90" s="50" t="s">
        <v>350</v>
      </c>
      <c r="I90" s="53" t="s">
        <v>18</v>
      </c>
      <c r="J90" s="88" t="s">
        <v>285</v>
      </c>
      <c r="K90" s="88" t="s">
        <v>174</v>
      </c>
      <c r="L90" s="201" t="str">
        <f t="shared" si="7"/>
        <v>AAQU013</v>
      </c>
      <c r="M90" s="204">
        <f t="shared" si="8"/>
        <v>16</v>
      </c>
    </row>
    <row r="91" spans="1:13" hidden="1">
      <c r="A91" s="199">
        <v>90</v>
      </c>
      <c r="B91" s="50" t="s">
        <v>351</v>
      </c>
      <c r="C91" s="200" t="s">
        <v>13</v>
      </c>
      <c r="D91" s="201" t="s">
        <v>281</v>
      </c>
      <c r="E91" s="50" t="s">
        <v>352</v>
      </c>
      <c r="F91" s="50" t="str">
        <f t="shared" si="6"/>
        <v>ĐÁ QUARTZ NDVC29</v>
      </c>
      <c r="G91" s="88" t="s">
        <v>283</v>
      </c>
      <c r="H91" s="50" t="s">
        <v>353</v>
      </c>
      <c r="I91" s="53" t="s">
        <v>18</v>
      </c>
      <c r="J91" s="88" t="s">
        <v>285</v>
      </c>
      <c r="K91" s="88" t="s">
        <v>206</v>
      </c>
      <c r="L91" s="201" t="str">
        <f t="shared" si="7"/>
        <v>AAQU027</v>
      </c>
      <c r="M91" s="204">
        <f t="shared" si="8"/>
        <v>16</v>
      </c>
    </row>
    <row r="92" spans="1:13" hidden="1">
      <c r="A92" s="199">
        <v>91</v>
      </c>
      <c r="B92" s="50" t="s">
        <v>354</v>
      </c>
      <c r="C92" s="200" t="s">
        <v>13</v>
      </c>
      <c r="D92" s="201" t="s">
        <v>281</v>
      </c>
      <c r="E92" s="50" t="s">
        <v>355</v>
      </c>
      <c r="F92" s="50" t="str">
        <f t="shared" si="6"/>
        <v>ĐÁ QUARTZ QS401</v>
      </c>
      <c r="G92" s="88" t="s">
        <v>283</v>
      </c>
      <c r="H92" s="50" t="s">
        <v>356</v>
      </c>
      <c r="I92" s="53" t="s">
        <v>18</v>
      </c>
      <c r="J92" s="88" t="s">
        <v>285</v>
      </c>
      <c r="K92" s="88" t="s">
        <v>54</v>
      </c>
      <c r="L92" s="201" t="str">
        <f t="shared" si="7"/>
        <v>AAQU008</v>
      </c>
      <c r="M92" s="204">
        <f t="shared" si="8"/>
        <v>15</v>
      </c>
    </row>
    <row r="93" spans="1:13" hidden="1">
      <c r="A93" s="199">
        <v>92</v>
      </c>
      <c r="B93" s="50" t="s">
        <v>357</v>
      </c>
      <c r="C93" s="200" t="s">
        <v>13</v>
      </c>
      <c r="D93" s="201" t="s">
        <v>281</v>
      </c>
      <c r="E93" s="50" t="s">
        <v>358</v>
      </c>
      <c r="F93" s="50" t="str">
        <f t="shared" si="6"/>
        <v>ĐÁ QUARTZ QS504</v>
      </c>
      <c r="G93" s="88" t="s">
        <v>283</v>
      </c>
      <c r="H93" s="50" t="s">
        <v>359</v>
      </c>
      <c r="I93" s="53" t="s">
        <v>18</v>
      </c>
      <c r="J93" s="88" t="s">
        <v>285</v>
      </c>
      <c r="K93" s="88" t="s">
        <v>182</v>
      </c>
      <c r="L93" s="201" t="str">
        <f t="shared" si="7"/>
        <v>AAQU015</v>
      </c>
      <c r="M93" s="204">
        <f t="shared" si="8"/>
        <v>15</v>
      </c>
    </row>
    <row r="94" spans="1:13" hidden="1">
      <c r="A94" s="199">
        <v>93</v>
      </c>
      <c r="B94" s="50" t="s">
        <v>360</v>
      </c>
      <c r="C94" s="200" t="s">
        <v>13</v>
      </c>
      <c r="D94" s="201" t="s">
        <v>281</v>
      </c>
      <c r="E94" s="50" t="s">
        <v>361</v>
      </c>
      <c r="F94" s="50" t="str">
        <f t="shared" si="6"/>
        <v>ĐÁ QUARTZ QS530</v>
      </c>
      <c r="G94" s="88" t="s">
        <v>283</v>
      </c>
      <c r="H94" s="50" t="s">
        <v>362</v>
      </c>
      <c r="I94" s="53" t="s">
        <v>18</v>
      </c>
      <c r="J94" s="88" t="s">
        <v>285</v>
      </c>
      <c r="K94" s="88" t="s">
        <v>186</v>
      </c>
      <c r="L94" s="201" t="str">
        <f t="shared" si="7"/>
        <v>AAQU025</v>
      </c>
      <c r="M94" s="204">
        <f t="shared" si="8"/>
        <v>15</v>
      </c>
    </row>
    <row r="95" spans="1:13" hidden="1">
      <c r="A95" s="205">
        <v>94</v>
      </c>
      <c r="B95" s="206" t="s">
        <v>363</v>
      </c>
      <c r="C95" s="207" t="s">
        <v>13</v>
      </c>
      <c r="D95" s="208" t="s">
        <v>281</v>
      </c>
      <c r="E95" s="206" t="s">
        <v>364</v>
      </c>
      <c r="F95" s="206" t="str">
        <f t="shared" si="6"/>
        <v>ĐÁ QUARTZ AW01</v>
      </c>
      <c r="G95" s="88" t="s">
        <v>283</v>
      </c>
      <c r="H95" s="206" t="s">
        <v>365</v>
      </c>
      <c r="I95" s="209" t="s">
        <v>18</v>
      </c>
      <c r="J95" s="210" t="s">
        <v>285</v>
      </c>
      <c r="K95" s="210" t="s">
        <v>144</v>
      </c>
      <c r="L95" s="208" t="str">
        <f t="shared" si="7"/>
        <v>AAQU018</v>
      </c>
      <c r="M95" s="211">
        <f t="shared" si="8"/>
        <v>14</v>
      </c>
    </row>
  </sheetData>
  <autoFilter ref="B1:M95" xr:uid="{00000000-0009-0000-0000-000000000000}">
    <filterColumn colId="5">
      <filters>
        <filter val="B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7"/>
  <sheetViews>
    <sheetView zoomScale="70" zoomScaleNormal="70" workbookViewId="0">
      <pane xSplit="3" ySplit="3" topLeftCell="D4" activePane="bottomRight" state="frozen"/>
      <selection pane="topRight"/>
      <selection pane="bottomLeft"/>
      <selection pane="bottomRight" activeCell="E3" sqref="E3:E11"/>
    </sheetView>
  </sheetViews>
  <sheetFormatPr defaultColWidth="8.85546875" defaultRowHeight="16.5"/>
  <cols>
    <col min="1" max="1" width="5.7109375" style="178" customWidth="1"/>
    <col min="2" max="2" width="16.42578125" style="178" customWidth="1"/>
    <col min="3" max="3" width="18.7109375" style="90" customWidth="1"/>
    <col min="4" max="14" width="21.85546875" style="179" customWidth="1"/>
    <col min="15" max="16384" width="8.85546875" style="92"/>
  </cols>
  <sheetData>
    <row r="1" spans="1:15" ht="64.150000000000006" customHeight="1">
      <c r="B1" s="219" t="s">
        <v>366</v>
      </c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187"/>
    </row>
    <row r="2" spans="1:15" ht="31.15" customHeight="1">
      <c r="A2" s="223" t="s">
        <v>0</v>
      </c>
      <c r="B2" s="225" t="s">
        <v>6</v>
      </c>
      <c r="C2" s="227" t="s">
        <v>367</v>
      </c>
      <c r="D2" s="221" t="s">
        <v>368</v>
      </c>
      <c r="E2" s="221"/>
      <c r="F2" s="221"/>
      <c r="G2" s="221"/>
      <c r="H2" s="221"/>
      <c r="I2" s="221"/>
      <c r="J2" s="221"/>
      <c r="K2" s="221"/>
      <c r="L2" s="221"/>
      <c r="M2" s="221"/>
      <c r="N2" s="222"/>
      <c r="O2" s="187"/>
    </row>
    <row r="3" spans="1:15">
      <c r="A3" s="224"/>
      <c r="B3" s="226"/>
      <c r="C3" s="228"/>
      <c r="D3" s="180" t="s">
        <v>369</v>
      </c>
      <c r="E3" s="180" t="s">
        <v>370</v>
      </c>
      <c r="F3" s="180" t="s">
        <v>371</v>
      </c>
      <c r="G3" s="180" t="s">
        <v>372</v>
      </c>
      <c r="H3" s="180" t="s">
        <v>373</v>
      </c>
      <c r="I3" s="180" t="s">
        <v>374</v>
      </c>
      <c r="J3" s="180" t="s">
        <v>375</v>
      </c>
      <c r="K3" s="180" t="s">
        <v>376</v>
      </c>
      <c r="L3" s="180" t="s">
        <v>377</v>
      </c>
      <c r="M3" s="180" t="s">
        <v>378</v>
      </c>
      <c r="N3" s="188" t="s">
        <v>379</v>
      </c>
      <c r="O3" s="187"/>
    </row>
    <row r="4" spans="1:15">
      <c r="A4" s="181">
        <v>1</v>
      </c>
      <c r="B4" s="182" t="s">
        <v>24</v>
      </c>
      <c r="C4" s="182" t="s">
        <v>380</v>
      </c>
      <c r="D4" s="183">
        <v>180</v>
      </c>
      <c r="E4" s="183">
        <v>180</v>
      </c>
      <c r="F4" s="183">
        <v>180</v>
      </c>
      <c r="G4" s="183">
        <v>180</v>
      </c>
      <c r="H4" s="183">
        <v>180</v>
      </c>
      <c r="I4" s="183">
        <v>800</v>
      </c>
      <c r="J4" s="183">
        <v>800</v>
      </c>
      <c r="K4" s="183">
        <v>800</v>
      </c>
      <c r="L4" s="183">
        <v>400</v>
      </c>
      <c r="M4" s="183">
        <v>400</v>
      </c>
      <c r="N4" s="189">
        <v>900</v>
      </c>
      <c r="O4" s="187"/>
    </row>
    <row r="5" spans="1:15">
      <c r="A5" s="181">
        <v>2</v>
      </c>
      <c r="B5" s="182" t="s">
        <v>24</v>
      </c>
      <c r="C5" s="182" t="s">
        <v>381</v>
      </c>
      <c r="D5" s="183">
        <v>180</v>
      </c>
      <c r="E5" s="183">
        <v>180</v>
      </c>
      <c r="F5" s="183">
        <v>180</v>
      </c>
      <c r="G5" s="183">
        <v>180</v>
      </c>
      <c r="H5" s="183">
        <v>180</v>
      </c>
      <c r="I5" s="183">
        <v>950</v>
      </c>
      <c r="J5" s="183">
        <v>1000</v>
      </c>
      <c r="K5" s="183">
        <v>1000</v>
      </c>
      <c r="L5" s="183">
        <v>500</v>
      </c>
      <c r="M5" s="183">
        <v>500</v>
      </c>
      <c r="N5" s="189">
        <v>1000</v>
      </c>
      <c r="O5" s="187"/>
    </row>
    <row r="6" spans="1:15">
      <c r="A6" s="181">
        <v>3</v>
      </c>
      <c r="B6" s="182" t="s">
        <v>24</v>
      </c>
      <c r="C6" s="182" t="s">
        <v>382</v>
      </c>
      <c r="D6" s="183">
        <v>180</v>
      </c>
      <c r="E6" s="183">
        <v>180</v>
      </c>
      <c r="F6" s="183">
        <v>180</v>
      </c>
      <c r="G6" s="183">
        <v>180</v>
      </c>
      <c r="H6" s="183">
        <v>180</v>
      </c>
      <c r="I6" s="183">
        <v>1100</v>
      </c>
      <c r="J6" s="183">
        <v>1200</v>
      </c>
      <c r="K6" s="183">
        <v>1200</v>
      </c>
      <c r="L6" s="183">
        <v>700</v>
      </c>
      <c r="M6" s="183">
        <v>700</v>
      </c>
      <c r="N6" s="189">
        <v>1500</v>
      </c>
      <c r="O6" s="187"/>
    </row>
    <row r="7" spans="1:15">
      <c r="A7" s="181">
        <v>4</v>
      </c>
      <c r="B7" s="182" t="s">
        <v>24</v>
      </c>
      <c r="C7" s="182" t="s">
        <v>383</v>
      </c>
      <c r="D7" s="183">
        <v>180</v>
      </c>
      <c r="E7" s="183">
        <v>180</v>
      </c>
      <c r="F7" s="183">
        <v>180</v>
      </c>
      <c r="G7" s="183">
        <v>180</v>
      </c>
      <c r="H7" s="183">
        <v>180</v>
      </c>
      <c r="I7" s="183">
        <v>1300</v>
      </c>
      <c r="J7" s="183">
        <v>1350</v>
      </c>
      <c r="K7" s="183">
        <v>1350</v>
      </c>
      <c r="L7" s="183">
        <v>800</v>
      </c>
      <c r="M7" s="183">
        <v>800</v>
      </c>
      <c r="N7" s="189">
        <v>1500</v>
      </c>
      <c r="O7" s="187"/>
    </row>
    <row r="8" spans="1:15">
      <c r="A8" s="181">
        <v>5</v>
      </c>
      <c r="B8" s="182" t="s">
        <v>66</v>
      </c>
      <c r="C8" s="182" t="s">
        <v>380</v>
      </c>
      <c r="D8" s="183">
        <v>400</v>
      </c>
      <c r="E8" s="183">
        <v>400</v>
      </c>
      <c r="F8" s="183">
        <v>400</v>
      </c>
      <c r="G8" s="183">
        <v>400</v>
      </c>
      <c r="H8" s="183">
        <v>400</v>
      </c>
      <c r="I8" s="183">
        <v>1200</v>
      </c>
      <c r="J8" s="183">
        <v>1500</v>
      </c>
      <c r="K8" s="183">
        <v>1500</v>
      </c>
      <c r="L8" s="183">
        <v>500</v>
      </c>
      <c r="M8" s="183">
        <v>500</v>
      </c>
      <c r="N8" s="189">
        <v>2000</v>
      </c>
      <c r="O8" s="187"/>
    </row>
    <row r="9" spans="1:15">
      <c r="A9" s="181">
        <v>6</v>
      </c>
      <c r="B9" s="182" t="s">
        <v>66</v>
      </c>
      <c r="C9" s="182" t="s">
        <v>381</v>
      </c>
      <c r="D9" s="183">
        <v>400</v>
      </c>
      <c r="E9" s="183">
        <v>400</v>
      </c>
      <c r="F9" s="183">
        <v>400</v>
      </c>
      <c r="G9" s="183">
        <v>400</v>
      </c>
      <c r="H9" s="183">
        <v>400</v>
      </c>
      <c r="I9" s="183">
        <v>1350</v>
      </c>
      <c r="J9" s="183">
        <v>1600</v>
      </c>
      <c r="K9" s="183">
        <v>1600</v>
      </c>
      <c r="L9" s="183">
        <v>700</v>
      </c>
      <c r="M9" s="183">
        <v>700</v>
      </c>
      <c r="N9" s="189">
        <v>2500</v>
      </c>
      <c r="O9" s="187"/>
    </row>
    <row r="10" spans="1:15">
      <c r="A10" s="181">
        <v>7</v>
      </c>
      <c r="B10" s="182" t="s">
        <v>66</v>
      </c>
      <c r="C10" s="182" t="s">
        <v>382</v>
      </c>
      <c r="D10" s="183">
        <v>400</v>
      </c>
      <c r="E10" s="183">
        <v>400</v>
      </c>
      <c r="F10" s="183">
        <v>400</v>
      </c>
      <c r="G10" s="183">
        <v>400</v>
      </c>
      <c r="H10" s="183">
        <v>400</v>
      </c>
      <c r="I10" s="183">
        <v>1500</v>
      </c>
      <c r="J10" s="183">
        <v>1800</v>
      </c>
      <c r="K10" s="183">
        <v>1800</v>
      </c>
      <c r="L10" s="183">
        <v>900</v>
      </c>
      <c r="M10" s="183">
        <v>900</v>
      </c>
      <c r="N10" s="189">
        <v>3000</v>
      </c>
      <c r="O10" s="187"/>
    </row>
    <row r="11" spans="1:15">
      <c r="A11" s="181">
        <v>8</v>
      </c>
      <c r="B11" s="182" t="s">
        <v>66</v>
      </c>
      <c r="C11" s="182" t="s">
        <v>383</v>
      </c>
      <c r="D11" s="183">
        <v>400</v>
      </c>
      <c r="E11" s="183">
        <v>400</v>
      </c>
      <c r="F11" s="183">
        <v>400</v>
      </c>
      <c r="G11" s="183">
        <v>400</v>
      </c>
      <c r="H11" s="183">
        <v>400</v>
      </c>
      <c r="I11" s="183">
        <v>1600</v>
      </c>
      <c r="J11" s="183">
        <v>2200</v>
      </c>
      <c r="K11" s="183">
        <v>2200</v>
      </c>
      <c r="L11" s="183">
        <v>1200</v>
      </c>
      <c r="M11" s="183">
        <v>1200</v>
      </c>
      <c r="N11" s="189">
        <v>4000</v>
      </c>
      <c r="O11" s="187"/>
    </row>
    <row r="12" spans="1:15">
      <c r="A12" s="181">
        <v>9</v>
      </c>
      <c r="B12" s="182" t="s">
        <v>16</v>
      </c>
      <c r="C12" s="182" t="s">
        <v>380</v>
      </c>
      <c r="D12" s="183">
        <v>200</v>
      </c>
      <c r="E12" s="183">
        <v>200</v>
      </c>
      <c r="F12" s="183">
        <v>200</v>
      </c>
      <c r="G12" s="183">
        <v>200</v>
      </c>
      <c r="H12" s="183">
        <v>200</v>
      </c>
      <c r="I12" s="183">
        <v>800</v>
      </c>
      <c r="J12" s="183">
        <v>800</v>
      </c>
      <c r="K12" s="183">
        <v>800</v>
      </c>
      <c r="L12" s="183">
        <v>400</v>
      </c>
      <c r="M12" s="183">
        <v>400</v>
      </c>
      <c r="N12" s="189">
        <v>900</v>
      </c>
      <c r="O12" s="187"/>
    </row>
    <row r="13" spans="1:15">
      <c r="A13" s="181">
        <v>10</v>
      </c>
      <c r="B13" s="182" t="s">
        <v>16</v>
      </c>
      <c r="C13" s="182" t="s">
        <v>381</v>
      </c>
      <c r="D13" s="183">
        <v>200</v>
      </c>
      <c r="E13" s="183">
        <v>200</v>
      </c>
      <c r="F13" s="183">
        <v>200</v>
      </c>
      <c r="G13" s="183">
        <v>200</v>
      </c>
      <c r="H13" s="183">
        <v>200</v>
      </c>
      <c r="I13" s="183">
        <v>950</v>
      </c>
      <c r="J13" s="183">
        <v>1000</v>
      </c>
      <c r="K13" s="183">
        <v>1000</v>
      </c>
      <c r="L13" s="183">
        <v>500</v>
      </c>
      <c r="M13" s="183">
        <v>500</v>
      </c>
      <c r="N13" s="189">
        <v>1000</v>
      </c>
      <c r="O13" s="187"/>
    </row>
    <row r="14" spans="1:15">
      <c r="A14" s="181">
        <v>11</v>
      </c>
      <c r="B14" s="182" t="s">
        <v>16</v>
      </c>
      <c r="C14" s="182" t="s">
        <v>382</v>
      </c>
      <c r="D14" s="183">
        <v>200</v>
      </c>
      <c r="E14" s="183">
        <v>200</v>
      </c>
      <c r="F14" s="183">
        <v>200</v>
      </c>
      <c r="G14" s="183">
        <v>200</v>
      </c>
      <c r="H14" s="183">
        <v>200</v>
      </c>
      <c r="I14" s="183">
        <v>1100</v>
      </c>
      <c r="J14" s="183">
        <v>1200</v>
      </c>
      <c r="K14" s="183">
        <v>1200</v>
      </c>
      <c r="L14" s="183">
        <v>700</v>
      </c>
      <c r="M14" s="183">
        <v>700</v>
      </c>
      <c r="N14" s="189">
        <v>1500</v>
      </c>
      <c r="O14" s="187"/>
    </row>
    <row r="15" spans="1:15">
      <c r="A15" s="181">
        <v>12</v>
      </c>
      <c r="B15" s="182" t="s">
        <v>16</v>
      </c>
      <c r="C15" s="182" t="s">
        <v>383</v>
      </c>
      <c r="D15" s="183">
        <v>200</v>
      </c>
      <c r="E15" s="183">
        <v>200</v>
      </c>
      <c r="F15" s="183">
        <v>200</v>
      </c>
      <c r="G15" s="183">
        <v>200</v>
      </c>
      <c r="H15" s="183">
        <v>200</v>
      </c>
      <c r="I15" s="183">
        <v>1300</v>
      </c>
      <c r="J15" s="183">
        <v>1350</v>
      </c>
      <c r="K15" s="183">
        <v>1350</v>
      </c>
      <c r="L15" s="183">
        <v>800</v>
      </c>
      <c r="M15" s="183">
        <v>800</v>
      </c>
      <c r="N15" s="189">
        <v>1500</v>
      </c>
      <c r="O15" s="187"/>
    </row>
    <row r="16" spans="1:15">
      <c r="A16" s="181">
        <v>13</v>
      </c>
      <c r="B16" s="182" t="s">
        <v>80</v>
      </c>
      <c r="C16" s="182" t="s">
        <v>380</v>
      </c>
      <c r="D16" s="183">
        <v>400</v>
      </c>
      <c r="E16" s="183">
        <v>400</v>
      </c>
      <c r="F16" s="183">
        <v>400</v>
      </c>
      <c r="G16" s="183">
        <v>400</v>
      </c>
      <c r="H16" s="183">
        <v>400</v>
      </c>
      <c r="I16" s="183">
        <v>1200</v>
      </c>
      <c r="J16" s="183">
        <v>1500</v>
      </c>
      <c r="K16" s="183">
        <v>1500</v>
      </c>
      <c r="L16" s="183">
        <v>500</v>
      </c>
      <c r="M16" s="183">
        <v>500</v>
      </c>
      <c r="N16" s="189">
        <v>2000</v>
      </c>
      <c r="O16" s="187"/>
    </row>
    <row r="17" spans="1:15">
      <c r="A17" s="181">
        <v>14</v>
      </c>
      <c r="B17" s="182" t="s">
        <v>80</v>
      </c>
      <c r="C17" s="182" t="s">
        <v>381</v>
      </c>
      <c r="D17" s="183">
        <v>400</v>
      </c>
      <c r="E17" s="183">
        <v>400</v>
      </c>
      <c r="F17" s="183">
        <v>400</v>
      </c>
      <c r="G17" s="183">
        <v>400</v>
      </c>
      <c r="H17" s="183">
        <v>400</v>
      </c>
      <c r="I17" s="183">
        <v>1350</v>
      </c>
      <c r="J17" s="183">
        <v>1600</v>
      </c>
      <c r="K17" s="183">
        <v>1600</v>
      </c>
      <c r="L17" s="183">
        <v>700</v>
      </c>
      <c r="M17" s="183">
        <v>700</v>
      </c>
      <c r="N17" s="189">
        <v>2500</v>
      </c>
      <c r="O17" s="187"/>
    </row>
    <row r="18" spans="1:15">
      <c r="A18" s="181">
        <v>15</v>
      </c>
      <c r="B18" s="182" t="s">
        <v>80</v>
      </c>
      <c r="C18" s="182" t="s">
        <v>382</v>
      </c>
      <c r="D18" s="183">
        <v>400</v>
      </c>
      <c r="E18" s="183">
        <v>400</v>
      </c>
      <c r="F18" s="183">
        <v>400</v>
      </c>
      <c r="G18" s="183">
        <v>400</v>
      </c>
      <c r="H18" s="183">
        <v>400</v>
      </c>
      <c r="I18" s="183">
        <v>1500</v>
      </c>
      <c r="J18" s="183">
        <v>1800</v>
      </c>
      <c r="K18" s="183">
        <v>1800</v>
      </c>
      <c r="L18" s="183">
        <v>900</v>
      </c>
      <c r="M18" s="183">
        <v>900</v>
      </c>
      <c r="N18" s="189">
        <v>3000</v>
      </c>
      <c r="O18" s="187"/>
    </row>
    <row r="19" spans="1:15">
      <c r="A19" s="181">
        <v>16</v>
      </c>
      <c r="B19" s="182" t="s">
        <v>80</v>
      </c>
      <c r="C19" s="182" t="s">
        <v>383</v>
      </c>
      <c r="D19" s="183">
        <v>400</v>
      </c>
      <c r="E19" s="183">
        <v>400</v>
      </c>
      <c r="F19" s="183">
        <v>400</v>
      </c>
      <c r="G19" s="183">
        <v>400</v>
      </c>
      <c r="H19" s="183">
        <v>400</v>
      </c>
      <c r="I19" s="183">
        <v>1600</v>
      </c>
      <c r="J19" s="183">
        <v>2200</v>
      </c>
      <c r="K19" s="183">
        <v>2200</v>
      </c>
      <c r="L19" s="183">
        <v>1200</v>
      </c>
      <c r="M19" s="183">
        <v>1200</v>
      </c>
      <c r="N19" s="189">
        <v>4000</v>
      </c>
      <c r="O19" s="187"/>
    </row>
    <row r="20" spans="1:15">
      <c r="A20" s="181">
        <v>17</v>
      </c>
      <c r="B20" s="182" t="s">
        <v>266</v>
      </c>
      <c r="C20" s="182" t="s">
        <v>380</v>
      </c>
      <c r="D20" s="183">
        <v>100</v>
      </c>
      <c r="E20" s="183">
        <v>100</v>
      </c>
      <c r="F20" s="183">
        <v>100</v>
      </c>
      <c r="G20" s="183">
        <v>100</v>
      </c>
      <c r="H20" s="183">
        <v>100</v>
      </c>
      <c r="I20" s="183">
        <v>650</v>
      </c>
      <c r="J20" s="183">
        <v>700</v>
      </c>
      <c r="K20" s="183">
        <v>700</v>
      </c>
      <c r="L20" s="183">
        <v>400</v>
      </c>
      <c r="M20" s="183">
        <v>400</v>
      </c>
      <c r="N20" s="189">
        <v>2000</v>
      </c>
      <c r="O20" s="187"/>
    </row>
    <row r="21" spans="1:15">
      <c r="A21" s="181">
        <v>18</v>
      </c>
      <c r="B21" s="182" t="s">
        <v>266</v>
      </c>
      <c r="C21" s="182" t="s">
        <v>381</v>
      </c>
      <c r="D21" s="183">
        <v>100</v>
      </c>
      <c r="E21" s="183">
        <v>100</v>
      </c>
      <c r="F21" s="183">
        <v>100</v>
      </c>
      <c r="G21" s="183">
        <v>100</v>
      </c>
      <c r="H21" s="183">
        <v>100</v>
      </c>
      <c r="I21" s="183">
        <v>700</v>
      </c>
      <c r="J21" s="183">
        <v>700</v>
      </c>
      <c r="K21" s="183">
        <v>700</v>
      </c>
      <c r="L21" s="183">
        <v>400</v>
      </c>
      <c r="M21" s="183">
        <v>400</v>
      </c>
      <c r="N21" s="189">
        <v>2500</v>
      </c>
      <c r="O21" s="187"/>
    </row>
    <row r="22" spans="1:15">
      <c r="A22" s="181">
        <v>19</v>
      </c>
      <c r="B22" s="182" t="s">
        <v>266</v>
      </c>
      <c r="C22" s="182" t="s">
        <v>382</v>
      </c>
      <c r="D22" s="183">
        <v>100</v>
      </c>
      <c r="E22" s="183">
        <v>100</v>
      </c>
      <c r="F22" s="183">
        <v>100</v>
      </c>
      <c r="G22" s="183">
        <v>100</v>
      </c>
      <c r="H22" s="183">
        <v>100</v>
      </c>
      <c r="I22" s="183">
        <v>700</v>
      </c>
      <c r="J22" s="183">
        <v>700</v>
      </c>
      <c r="K22" s="183">
        <v>700</v>
      </c>
      <c r="L22" s="183">
        <v>500</v>
      </c>
      <c r="M22" s="183">
        <v>500</v>
      </c>
      <c r="N22" s="189">
        <v>3000</v>
      </c>
      <c r="O22" s="187"/>
    </row>
    <row r="23" spans="1:15">
      <c r="A23" s="181">
        <v>20</v>
      </c>
      <c r="B23" s="182" t="s">
        <v>266</v>
      </c>
      <c r="C23" s="182" t="s">
        <v>383</v>
      </c>
      <c r="D23" s="183">
        <v>120</v>
      </c>
      <c r="E23" s="183">
        <v>120</v>
      </c>
      <c r="F23" s="183">
        <v>120</v>
      </c>
      <c r="G23" s="183">
        <v>120</v>
      </c>
      <c r="H23" s="183">
        <v>120</v>
      </c>
      <c r="I23" s="183">
        <v>800</v>
      </c>
      <c r="J23" s="183">
        <v>700</v>
      </c>
      <c r="K23" s="183">
        <v>700</v>
      </c>
      <c r="L23" s="183">
        <v>600</v>
      </c>
      <c r="M23" s="183">
        <v>600</v>
      </c>
      <c r="N23" s="189">
        <v>4000</v>
      </c>
      <c r="O23" s="187"/>
    </row>
    <row r="24" spans="1:15">
      <c r="A24" s="181">
        <v>21</v>
      </c>
      <c r="B24" s="182" t="s">
        <v>37</v>
      </c>
      <c r="C24" s="182" t="s">
        <v>380</v>
      </c>
      <c r="D24" s="183">
        <v>200</v>
      </c>
      <c r="E24" s="183">
        <v>200</v>
      </c>
      <c r="F24" s="183">
        <v>200</v>
      </c>
      <c r="G24" s="183">
        <v>200</v>
      </c>
      <c r="H24" s="183">
        <v>200</v>
      </c>
      <c r="I24" s="183">
        <v>800</v>
      </c>
      <c r="J24" s="183">
        <v>800</v>
      </c>
      <c r="K24" s="183">
        <v>800</v>
      </c>
      <c r="L24" s="183">
        <v>400</v>
      </c>
      <c r="M24" s="183">
        <v>400</v>
      </c>
      <c r="N24" s="189">
        <v>900</v>
      </c>
      <c r="O24" s="187"/>
    </row>
    <row r="25" spans="1:15">
      <c r="A25" s="181">
        <v>22</v>
      </c>
      <c r="B25" s="182" t="s">
        <v>37</v>
      </c>
      <c r="C25" s="182" t="s">
        <v>381</v>
      </c>
      <c r="D25" s="183">
        <v>200</v>
      </c>
      <c r="E25" s="183">
        <v>200</v>
      </c>
      <c r="F25" s="183">
        <v>200</v>
      </c>
      <c r="G25" s="183">
        <v>200</v>
      </c>
      <c r="H25" s="183">
        <v>200</v>
      </c>
      <c r="I25" s="183">
        <v>950</v>
      </c>
      <c r="J25" s="183">
        <v>1000</v>
      </c>
      <c r="K25" s="183">
        <v>1000</v>
      </c>
      <c r="L25" s="183">
        <v>500</v>
      </c>
      <c r="M25" s="183">
        <v>500</v>
      </c>
      <c r="N25" s="189">
        <v>1000</v>
      </c>
      <c r="O25" s="187"/>
    </row>
    <row r="26" spans="1:15">
      <c r="A26" s="181">
        <v>23</v>
      </c>
      <c r="B26" s="182" t="s">
        <v>37</v>
      </c>
      <c r="C26" s="182" t="s">
        <v>382</v>
      </c>
      <c r="D26" s="183">
        <v>200</v>
      </c>
      <c r="E26" s="183">
        <v>200</v>
      </c>
      <c r="F26" s="183">
        <v>200</v>
      </c>
      <c r="G26" s="183">
        <v>200</v>
      </c>
      <c r="H26" s="183">
        <v>200</v>
      </c>
      <c r="I26" s="183">
        <v>1100</v>
      </c>
      <c r="J26" s="183">
        <v>1200</v>
      </c>
      <c r="K26" s="183">
        <v>1200</v>
      </c>
      <c r="L26" s="183">
        <v>700</v>
      </c>
      <c r="M26" s="183">
        <v>700</v>
      </c>
      <c r="N26" s="189">
        <v>1500</v>
      </c>
      <c r="O26" s="187"/>
    </row>
    <row r="27" spans="1:15">
      <c r="A27" s="181">
        <v>24</v>
      </c>
      <c r="B27" s="182" t="s">
        <v>37</v>
      </c>
      <c r="C27" s="182" t="s">
        <v>383</v>
      </c>
      <c r="D27" s="183">
        <v>200</v>
      </c>
      <c r="E27" s="183">
        <v>200</v>
      </c>
      <c r="F27" s="183">
        <v>200</v>
      </c>
      <c r="G27" s="183">
        <v>200</v>
      </c>
      <c r="H27" s="183">
        <v>200</v>
      </c>
      <c r="I27" s="183">
        <v>1300</v>
      </c>
      <c r="J27" s="183">
        <v>1350</v>
      </c>
      <c r="K27" s="183">
        <v>1350</v>
      </c>
      <c r="L27" s="183">
        <v>800</v>
      </c>
      <c r="M27" s="183">
        <v>800</v>
      </c>
      <c r="N27" s="189">
        <v>1500</v>
      </c>
      <c r="O27" s="187"/>
    </row>
    <row r="28" spans="1:15">
      <c r="A28" s="181">
        <v>25</v>
      </c>
      <c r="B28" s="182" t="s">
        <v>72</v>
      </c>
      <c r="C28" s="182" t="s">
        <v>380</v>
      </c>
      <c r="D28" s="183">
        <v>380</v>
      </c>
      <c r="E28" s="183">
        <v>380</v>
      </c>
      <c r="F28" s="183">
        <v>380</v>
      </c>
      <c r="G28" s="183">
        <v>380</v>
      </c>
      <c r="H28" s="183">
        <v>380</v>
      </c>
      <c r="I28" s="183">
        <v>1200</v>
      </c>
      <c r="J28" s="183">
        <v>1500</v>
      </c>
      <c r="K28" s="183">
        <v>1500</v>
      </c>
      <c r="L28" s="183">
        <v>500</v>
      </c>
      <c r="M28" s="183">
        <v>500</v>
      </c>
      <c r="N28" s="189">
        <v>2000</v>
      </c>
      <c r="O28" s="187"/>
    </row>
    <row r="29" spans="1:15">
      <c r="A29" s="181">
        <v>26</v>
      </c>
      <c r="B29" s="182" t="s">
        <v>72</v>
      </c>
      <c r="C29" s="182" t="s">
        <v>381</v>
      </c>
      <c r="D29" s="183">
        <v>380</v>
      </c>
      <c r="E29" s="183">
        <v>380</v>
      </c>
      <c r="F29" s="183">
        <v>380</v>
      </c>
      <c r="G29" s="183">
        <v>380</v>
      </c>
      <c r="H29" s="183">
        <v>380</v>
      </c>
      <c r="I29" s="183">
        <v>1350</v>
      </c>
      <c r="J29" s="183">
        <v>1600</v>
      </c>
      <c r="K29" s="183">
        <v>1600</v>
      </c>
      <c r="L29" s="183">
        <v>700</v>
      </c>
      <c r="M29" s="183">
        <v>700</v>
      </c>
      <c r="N29" s="189">
        <v>2500</v>
      </c>
      <c r="O29" s="187"/>
    </row>
    <row r="30" spans="1:15">
      <c r="A30" s="181">
        <v>27</v>
      </c>
      <c r="B30" s="182" t="s">
        <v>72</v>
      </c>
      <c r="C30" s="182" t="s">
        <v>382</v>
      </c>
      <c r="D30" s="183">
        <v>380</v>
      </c>
      <c r="E30" s="183">
        <v>380</v>
      </c>
      <c r="F30" s="183">
        <v>380</v>
      </c>
      <c r="G30" s="183">
        <v>380</v>
      </c>
      <c r="H30" s="183">
        <v>380</v>
      </c>
      <c r="I30" s="183">
        <v>1500</v>
      </c>
      <c r="J30" s="183">
        <v>1800</v>
      </c>
      <c r="K30" s="183">
        <v>1800</v>
      </c>
      <c r="L30" s="183">
        <v>900</v>
      </c>
      <c r="M30" s="183">
        <v>900</v>
      </c>
      <c r="N30" s="189">
        <v>3000</v>
      </c>
      <c r="O30" s="187"/>
    </row>
    <row r="31" spans="1:15">
      <c r="A31" s="181">
        <v>28</v>
      </c>
      <c r="B31" s="182" t="s">
        <v>72</v>
      </c>
      <c r="C31" s="182" t="s">
        <v>383</v>
      </c>
      <c r="D31" s="183">
        <v>380</v>
      </c>
      <c r="E31" s="183">
        <v>380</v>
      </c>
      <c r="F31" s="183">
        <v>380</v>
      </c>
      <c r="G31" s="183">
        <v>380</v>
      </c>
      <c r="H31" s="183">
        <v>380</v>
      </c>
      <c r="I31" s="183">
        <v>1600</v>
      </c>
      <c r="J31" s="183">
        <v>2200</v>
      </c>
      <c r="K31" s="183">
        <v>2200</v>
      </c>
      <c r="L31" s="183">
        <v>1200</v>
      </c>
      <c r="M31" s="183">
        <v>1200</v>
      </c>
      <c r="N31" s="189">
        <v>4000</v>
      </c>
      <c r="O31" s="187"/>
    </row>
    <row r="32" spans="1:15">
      <c r="A32" s="181">
        <v>29</v>
      </c>
      <c r="B32" s="182" t="s">
        <v>120</v>
      </c>
      <c r="C32" s="182" t="s">
        <v>380</v>
      </c>
      <c r="D32" s="183">
        <v>400</v>
      </c>
      <c r="E32" s="183">
        <v>400</v>
      </c>
      <c r="F32" s="183">
        <v>400</v>
      </c>
      <c r="G32" s="183">
        <v>400</v>
      </c>
      <c r="H32" s="183">
        <v>400</v>
      </c>
      <c r="I32" s="183">
        <v>1200</v>
      </c>
      <c r="J32" s="183">
        <v>1200</v>
      </c>
      <c r="K32" s="183">
        <v>1200</v>
      </c>
      <c r="L32" s="183">
        <v>500</v>
      </c>
      <c r="M32" s="183">
        <v>500</v>
      </c>
      <c r="N32" s="189">
        <v>2000</v>
      </c>
      <c r="O32" s="187"/>
    </row>
    <row r="33" spans="1:15">
      <c r="A33" s="181">
        <v>30</v>
      </c>
      <c r="B33" s="182" t="s">
        <v>120</v>
      </c>
      <c r="C33" s="182" t="s">
        <v>381</v>
      </c>
      <c r="D33" s="183">
        <v>400</v>
      </c>
      <c r="E33" s="183">
        <v>400</v>
      </c>
      <c r="F33" s="183">
        <v>400</v>
      </c>
      <c r="G33" s="183">
        <v>400</v>
      </c>
      <c r="H33" s="183">
        <v>400</v>
      </c>
      <c r="I33" s="183">
        <v>1350</v>
      </c>
      <c r="J33" s="183">
        <v>1400</v>
      </c>
      <c r="K33" s="183">
        <v>1400</v>
      </c>
      <c r="L33" s="183">
        <v>700</v>
      </c>
      <c r="M33" s="183">
        <v>700</v>
      </c>
      <c r="N33" s="189">
        <v>2500</v>
      </c>
      <c r="O33" s="187"/>
    </row>
    <row r="34" spans="1:15">
      <c r="A34" s="181">
        <v>31</v>
      </c>
      <c r="B34" s="182" t="s">
        <v>120</v>
      </c>
      <c r="C34" s="182" t="s">
        <v>382</v>
      </c>
      <c r="D34" s="183">
        <v>400</v>
      </c>
      <c r="E34" s="183">
        <v>400</v>
      </c>
      <c r="F34" s="183">
        <v>400</v>
      </c>
      <c r="G34" s="183">
        <v>400</v>
      </c>
      <c r="H34" s="183">
        <v>400</v>
      </c>
      <c r="I34" s="183">
        <v>1500</v>
      </c>
      <c r="J34" s="183">
        <v>1800</v>
      </c>
      <c r="K34" s="183">
        <v>1800</v>
      </c>
      <c r="L34" s="183">
        <v>900</v>
      </c>
      <c r="M34" s="183">
        <v>900</v>
      </c>
      <c r="N34" s="189">
        <v>3000</v>
      </c>
      <c r="O34" s="187"/>
    </row>
    <row r="35" spans="1:15" ht="16.5" customHeight="1">
      <c r="A35" s="181">
        <v>32</v>
      </c>
      <c r="B35" s="182" t="s">
        <v>120</v>
      </c>
      <c r="C35" s="182" t="s">
        <v>383</v>
      </c>
      <c r="D35" s="183">
        <v>400</v>
      </c>
      <c r="E35" s="183">
        <v>400</v>
      </c>
      <c r="F35" s="183">
        <v>400</v>
      </c>
      <c r="G35" s="183">
        <v>400</v>
      </c>
      <c r="H35" s="183">
        <v>400</v>
      </c>
      <c r="I35" s="183">
        <v>1600</v>
      </c>
      <c r="J35" s="183">
        <v>2200</v>
      </c>
      <c r="K35" s="183">
        <v>2200</v>
      </c>
      <c r="L35" s="183">
        <v>1200</v>
      </c>
      <c r="M35" s="183">
        <v>1200</v>
      </c>
      <c r="N35" s="189">
        <v>4000</v>
      </c>
      <c r="O35" s="187"/>
    </row>
    <row r="36" spans="1:15">
      <c r="A36" s="181">
        <v>33</v>
      </c>
      <c r="B36" s="182" t="s">
        <v>283</v>
      </c>
      <c r="C36" s="182" t="s">
        <v>380</v>
      </c>
      <c r="D36" s="183">
        <v>450</v>
      </c>
      <c r="E36" s="183">
        <v>450</v>
      </c>
      <c r="F36" s="183">
        <v>450</v>
      </c>
      <c r="G36" s="183">
        <v>450</v>
      </c>
      <c r="H36" s="183">
        <v>450</v>
      </c>
      <c r="I36" s="183">
        <v>1200</v>
      </c>
      <c r="J36" s="183">
        <v>1600</v>
      </c>
      <c r="K36" s="183">
        <v>1600</v>
      </c>
      <c r="L36" s="183">
        <v>500</v>
      </c>
      <c r="M36" s="183">
        <v>500</v>
      </c>
      <c r="N36" s="189">
        <v>2000</v>
      </c>
      <c r="O36" s="187"/>
    </row>
    <row r="37" spans="1:15">
      <c r="A37" s="181">
        <v>34</v>
      </c>
      <c r="B37" s="182" t="s">
        <v>283</v>
      </c>
      <c r="C37" s="182" t="s">
        <v>381</v>
      </c>
      <c r="D37" s="183">
        <v>450</v>
      </c>
      <c r="E37" s="183">
        <v>450</v>
      </c>
      <c r="F37" s="183">
        <v>450</v>
      </c>
      <c r="G37" s="183">
        <v>450</v>
      </c>
      <c r="H37" s="183">
        <v>450</v>
      </c>
      <c r="I37" s="183">
        <v>1358</v>
      </c>
      <c r="J37" s="183">
        <v>1700</v>
      </c>
      <c r="K37" s="183">
        <v>1700</v>
      </c>
      <c r="L37" s="183">
        <v>700</v>
      </c>
      <c r="M37" s="183">
        <v>700</v>
      </c>
      <c r="N37" s="189">
        <v>2500</v>
      </c>
      <c r="O37" s="187"/>
    </row>
    <row r="38" spans="1:15">
      <c r="A38" s="181">
        <v>35</v>
      </c>
      <c r="B38" s="182" t="s">
        <v>283</v>
      </c>
      <c r="C38" s="182" t="s">
        <v>382</v>
      </c>
      <c r="D38" s="183">
        <v>450</v>
      </c>
      <c r="E38" s="183">
        <v>450</v>
      </c>
      <c r="F38" s="183">
        <v>450</v>
      </c>
      <c r="G38" s="183">
        <v>450</v>
      </c>
      <c r="H38" s="183">
        <v>450</v>
      </c>
      <c r="I38" s="183">
        <v>1500</v>
      </c>
      <c r="J38" s="183">
        <v>1900</v>
      </c>
      <c r="K38" s="183">
        <v>1900</v>
      </c>
      <c r="L38" s="183">
        <v>900</v>
      </c>
      <c r="M38" s="183">
        <v>900</v>
      </c>
      <c r="N38" s="189">
        <v>3000</v>
      </c>
      <c r="O38" s="187"/>
    </row>
    <row r="39" spans="1:15">
      <c r="A39" s="181">
        <v>36</v>
      </c>
      <c r="B39" s="182" t="s">
        <v>283</v>
      </c>
      <c r="C39" s="182" t="s">
        <v>383</v>
      </c>
      <c r="D39" s="183">
        <v>450</v>
      </c>
      <c r="E39" s="183">
        <v>450</v>
      </c>
      <c r="F39" s="183">
        <v>450</v>
      </c>
      <c r="G39" s="183">
        <v>450</v>
      </c>
      <c r="H39" s="183">
        <v>450</v>
      </c>
      <c r="I39" s="183">
        <v>1600</v>
      </c>
      <c r="J39" s="183">
        <v>2300</v>
      </c>
      <c r="K39" s="183">
        <v>2300</v>
      </c>
      <c r="L39" s="183">
        <v>1200</v>
      </c>
      <c r="M39" s="183">
        <v>1200</v>
      </c>
      <c r="N39" s="189">
        <v>4000</v>
      </c>
      <c r="O39" s="187"/>
    </row>
    <row r="40" spans="1:15">
      <c r="A40" s="181">
        <v>37</v>
      </c>
      <c r="B40" s="182" t="s">
        <v>100</v>
      </c>
      <c r="C40" s="182" t="s">
        <v>380</v>
      </c>
      <c r="D40" s="183">
        <v>380</v>
      </c>
      <c r="E40" s="183">
        <v>380</v>
      </c>
      <c r="F40" s="183">
        <v>380</v>
      </c>
      <c r="G40" s="183">
        <v>380</v>
      </c>
      <c r="H40" s="183">
        <v>380</v>
      </c>
      <c r="I40" s="183">
        <v>1200</v>
      </c>
      <c r="J40" s="183">
        <v>1500</v>
      </c>
      <c r="K40" s="183">
        <v>1500</v>
      </c>
      <c r="L40" s="183">
        <v>500</v>
      </c>
      <c r="M40" s="183">
        <v>500</v>
      </c>
      <c r="N40" s="189">
        <v>2000</v>
      </c>
      <c r="O40" s="187"/>
    </row>
    <row r="41" spans="1:15">
      <c r="A41" s="181">
        <v>38</v>
      </c>
      <c r="B41" s="182" t="s">
        <v>100</v>
      </c>
      <c r="C41" s="182" t="s">
        <v>381</v>
      </c>
      <c r="D41" s="183">
        <v>380</v>
      </c>
      <c r="E41" s="183">
        <v>380</v>
      </c>
      <c r="F41" s="183">
        <v>380</v>
      </c>
      <c r="G41" s="183">
        <v>380</v>
      </c>
      <c r="H41" s="183">
        <v>380</v>
      </c>
      <c r="I41" s="183">
        <v>1350</v>
      </c>
      <c r="J41" s="183">
        <v>1600</v>
      </c>
      <c r="K41" s="183">
        <v>1600</v>
      </c>
      <c r="L41" s="183">
        <v>700</v>
      </c>
      <c r="M41" s="183">
        <v>700</v>
      </c>
      <c r="N41" s="189">
        <v>2500</v>
      </c>
      <c r="O41" s="187"/>
    </row>
    <row r="42" spans="1:15">
      <c r="A42" s="181">
        <v>39</v>
      </c>
      <c r="B42" s="182" t="s">
        <v>100</v>
      </c>
      <c r="C42" s="182" t="s">
        <v>382</v>
      </c>
      <c r="D42" s="183">
        <v>380</v>
      </c>
      <c r="E42" s="183">
        <v>380</v>
      </c>
      <c r="F42" s="183">
        <v>380</v>
      </c>
      <c r="G42" s="183">
        <v>380</v>
      </c>
      <c r="H42" s="183">
        <v>380</v>
      </c>
      <c r="I42" s="183">
        <v>1500</v>
      </c>
      <c r="J42" s="183">
        <v>1800</v>
      </c>
      <c r="K42" s="183">
        <v>1800</v>
      </c>
      <c r="L42" s="183">
        <v>900</v>
      </c>
      <c r="M42" s="183">
        <v>900</v>
      </c>
      <c r="N42" s="189">
        <v>3000</v>
      </c>
      <c r="O42" s="187"/>
    </row>
    <row r="43" spans="1:15">
      <c r="A43" s="181">
        <v>40</v>
      </c>
      <c r="B43" s="182" t="s">
        <v>100</v>
      </c>
      <c r="C43" s="182" t="s">
        <v>383</v>
      </c>
      <c r="D43" s="183">
        <v>380</v>
      </c>
      <c r="E43" s="183">
        <v>380</v>
      </c>
      <c r="F43" s="183">
        <v>380</v>
      </c>
      <c r="G43" s="183">
        <v>380</v>
      </c>
      <c r="H43" s="183">
        <v>380</v>
      </c>
      <c r="I43" s="183">
        <v>1600</v>
      </c>
      <c r="J43" s="183">
        <v>2200</v>
      </c>
      <c r="K43" s="183">
        <v>2200</v>
      </c>
      <c r="L43" s="183">
        <v>1200</v>
      </c>
      <c r="M43" s="183">
        <v>1200</v>
      </c>
      <c r="N43" s="189">
        <v>4000</v>
      </c>
      <c r="O43" s="187"/>
    </row>
    <row r="44" spans="1:15">
      <c r="A44" s="181">
        <v>41</v>
      </c>
      <c r="B44" s="182" t="s">
        <v>104</v>
      </c>
      <c r="C44" s="182" t="s">
        <v>380</v>
      </c>
      <c r="D44" s="183">
        <v>400</v>
      </c>
      <c r="E44" s="183">
        <v>400</v>
      </c>
      <c r="F44" s="183">
        <v>400</v>
      </c>
      <c r="G44" s="183">
        <v>400</v>
      </c>
      <c r="H44" s="183">
        <v>400</v>
      </c>
      <c r="I44" s="183">
        <v>1200</v>
      </c>
      <c r="J44" s="183">
        <v>1500</v>
      </c>
      <c r="K44" s="183">
        <v>1500</v>
      </c>
      <c r="L44" s="183">
        <v>500</v>
      </c>
      <c r="M44" s="183">
        <v>500</v>
      </c>
      <c r="N44" s="189">
        <v>2000</v>
      </c>
      <c r="O44" s="187"/>
    </row>
    <row r="45" spans="1:15">
      <c r="A45" s="181">
        <v>42</v>
      </c>
      <c r="B45" s="182" t="s">
        <v>104</v>
      </c>
      <c r="C45" s="182" t="s">
        <v>381</v>
      </c>
      <c r="D45" s="183">
        <v>400</v>
      </c>
      <c r="E45" s="183">
        <v>400</v>
      </c>
      <c r="F45" s="183">
        <v>400</v>
      </c>
      <c r="G45" s="183">
        <v>400</v>
      </c>
      <c r="H45" s="183">
        <v>400</v>
      </c>
      <c r="I45" s="183">
        <v>1350</v>
      </c>
      <c r="J45" s="183">
        <v>1600</v>
      </c>
      <c r="K45" s="183">
        <v>1600</v>
      </c>
      <c r="L45" s="183">
        <v>700</v>
      </c>
      <c r="M45" s="183">
        <v>700</v>
      </c>
      <c r="N45" s="189">
        <v>2500</v>
      </c>
      <c r="O45" s="187"/>
    </row>
    <row r="46" spans="1:15">
      <c r="A46" s="181">
        <v>43</v>
      </c>
      <c r="B46" s="182" t="s">
        <v>104</v>
      </c>
      <c r="C46" s="182" t="s">
        <v>382</v>
      </c>
      <c r="D46" s="183">
        <v>400</v>
      </c>
      <c r="E46" s="183">
        <v>400</v>
      </c>
      <c r="F46" s="183">
        <v>400</v>
      </c>
      <c r="G46" s="183">
        <v>400</v>
      </c>
      <c r="H46" s="183">
        <v>400</v>
      </c>
      <c r="I46" s="183">
        <v>1500</v>
      </c>
      <c r="J46" s="183">
        <v>1800</v>
      </c>
      <c r="K46" s="183">
        <v>1800</v>
      </c>
      <c r="L46" s="183">
        <v>900</v>
      </c>
      <c r="M46" s="183">
        <v>900</v>
      </c>
      <c r="N46" s="189">
        <v>3000</v>
      </c>
      <c r="O46" s="187"/>
    </row>
    <row r="47" spans="1:15">
      <c r="A47" s="181">
        <v>44</v>
      </c>
      <c r="B47" s="182" t="s">
        <v>104</v>
      </c>
      <c r="C47" s="182" t="s">
        <v>383</v>
      </c>
      <c r="D47" s="183">
        <v>400</v>
      </c>
      <c r="E47" s="183">
        <v>400</v>
      </c>
      <c r="F47" s="183">
        <v>400</v>
      </c>
      <c r="G47" s="183">
        <v>400</v>
      </c>
      <c r="H47" s="183">
        <v>400</v>
      </c>
      <c r="I47" s="183">
        <v>1600</v>
      </c>
      <c r="J47" s="183">
        <v>2200</v>
      </c>
      <c r="K47" s="183">
        <v>2200</v>
      </c>
      <c r="L47" s="183">
        <v>1200</v>
      </c>
      <c r="M47" s="183">
        <v>1200</v>
      </c>
      <c r="N47" s="189">
        <v>4000</v>
      </c>
      <c r="O47" s="187"/>
    </row>
    <row r="48" spans="1:15">
      <c r="A48" s="181">
        <v>53</v>
      </c>
      <c r="B48" s="182" t="s">
        <v>88</v>
      </c>
      <c r="C48" s="182" t="s">
        <v>380</v>
      </c>
      <c r="D48" s="183">
        <v>450</v>
      </c>
      <c r="E48" s="183">
        <v>450</v>
      </c>
      <c r="F48" s="183">
        <v>450</v>
      </c>
      <c r="G48" s="183">
        <v>450</v>
      </c>
      <c r="H48" s="183">
        <v>450</v>
      </c>
      <c r="I48" s="183">
        <v>1200</v>
      </c>
      <c r="J48" s="183">
        <v>1200</v>
      </c>
      <c r="K48" s="183">
        <v>1200</v>
      </c>
      <c r="L48" s="183">
        <v>500</v>
      </c>
      <c r="M48" s="183">
        <v>500</v>
      </c>
      <c r="N48" s="189">
        <v>2000</v>
      </c>
      <c r="O48" s="187"/>
    </row>
    <row r="49" spans="1:15">
      <c r="A49" s="181">
        <v>54</v>
      </c>
      <c r="B49" s="182" t="s">
        <v>88</v>
      </c>
      <c r="C49" s="182" t="s">
        <v>381</v>
      </c>
      <c r="D49" s="183">
        <v>450</v>
      </c>
      <c r="E49" s="183">
        <v>450</v>
      </c>
      <c r="F49" s="183">
        <v>450</v>
      </c>
      <c r="G49" s="183">
        <v>450</v>
      </c>
      <c r="H49" s="183">
        <v>450</v>
      </c>
      <c r="I49" s="183">
        <v>1350</v>
      </c>
      <c r="J49" s="183">
        <v>1400</v>
      </c>
      <c r="K49" s="183">
        <v>1400</v>
      </c>
      <c r="L49" s="183">
        <v>700</v>
      </c>
      <c r="M49" s="183">
        <v>700</v>
      </c>
      <c r="N49" s="189">
        <v>2500</v>
      </c>
      <c r="O49" s="187"/>
    </row>
    <row r="50" spans="1:15">
      <c r="A50" s="181">
        <v>55</v>
      </c>
      <c r="B50" s="182" t="s">
        <v>88</v>
      </c>
      <c r="C50" s="182" t="s">
        <v>382</v>
      </c>
      <c r="D50" s="183">
        <v>450</v>
      </c>
      <c r="E50" s="183">
        <v>450</v>
      </c>
      <c r="F50" s="183">
        <v>450</v>
      </c>
      <c r="G50" s="183">
        <v>450</v>
      </c>
      <c r="H50" s="183">
        <v>450</v>
      </c>
      <c r="I50" s="183">
        <v>1500</v>
      </c>
      <c r="J50" s="183">
        <v>1800</v>
      </c>
      <c r="K50" s="183">
        <v>1800</v>
      </c>
      <c r="L50" s="183">
        <v>900</v>
      </c>
      <c r="M50" s="183">
        <v>900</v>
      </c>
      <c r="N50" s="189">
        <v>3000</v>
      </c>
      <c r="O50" s="187"/>
    </row>
    <row r="51" spans="1:15">
      <c r="A51" s="181">
        <v>56</v>
      </c>
      <c r="B51" s="182" t="s">
        <v>88</v>
      </c>
      <c r="C51" s="182" t="s">
        <v>383</v>
      </c>
      <c r="D51" s="183">
        <v>450</v>
      </c>
      <c r="E51" s="183">
        <v>450</v>
      </c>
      <c r="F51" s="183">
        <v>450</v>
      </c>
      <c r="G51" s="183">
        <v>450</v>
      </c>
      <c r="H51" s="183">
        <v>450</v>
      </c>
      <c r="I51" s="183">
        <v>1600</v>
      </c>
      <c r="J51" s="183">
        <v>2200</v>
      </c>
      <c r="K51" s="183">
        <v>2200</v>
      </c>
      <c r="L51" s="183">
        <v>1200</v>
      </c>
      <c r="M51" s="183">
        <v>1200</v>
      </c>
      <c r="N51" s="189">
        <v>4000</v>
      </c>
      <c r="O51" s="187"/>
    </row>
    <row r="52" spans="1:15">
      <c r="A52" s="181">
        <v>45</v>
      </c>
      <c r="B52" s="182" t="s">
        <v>384</v>
      </c>
      <c r="C52" s="182" t="s">
        <v>380</v>
      </c>
      <c r="D52" s="183">
        <v>400</v>
      </c>
      <c r="E52" s="183">
        <v>400</v>
      </c>
      <c r="F52" s="183">
        <v>400</v>
      </c>
      <c r="G52" s="183">
        <v>400</v>
      </c>
      <c r="H52" s="183">
        <v>400</v>
      </c>
      <c r="I52" s="183">
        <v>1200</v>
      </c>
      <c r="J52" s="183">
        <v>1600</v>
      </c>
      <c r="K52" s="183">
        <v>1600</v>
      </c>
      <c r="L52" s="183">
        <v>500</v>
      </c>
      <c r="M52" s="183">
        <v>500</v>
      </c>
      <c r="N52" s="189">
        <v>2000</v>
      </c>
      <c r="O52" s="187"/>
    </row>
    <row r="53" spans="1:15">
      <c r="A53" s="181">
        <v>46</v>
      </c>
      <c r="B53" s="182" t="s">
        <v>384</v>
      </c>
      <c r="C53" s="182" t="s">
        <v>381</v>
      </c>
      <c r="D53" s="183">
        <v>400</v>
      </c>
      <c r="E53" s="183">
        <v>400</v>
      </c>
      <c r="F53" s="183">
        <v>400</v>
      </c>
      <c r="G53" s="183">
        <v>400</v>
      </c>
      <c r="H53" s="183">
        <v>400</v>
      </c>
      <c r="I53" s="183">
        <v>1350</v>
      </c>
      <c r="J53" s="183">
        <v>1700</v>
      </c>
      <c r="K53" s="183">
        <v>1700</v>
      </c>
      <c r="L53" s="183">
        <v>700</v>
      </c>
      <c r="M53" s="183">
        <v>700</v>
      </c>
      <c r="N53" s="189">
        <v>2500</v>
      </c>
      <c r="O53" s="187"/>
    </row>
    <row r="54" spans="1:15">
      <c r="A54" s="181">
        <v>47</v>
      </c>
      <c r="B54" s="182" t="s">
        <v>384</v>
      </c>
      <c r="C54" s="182" t="s">
        <v>382</v>
      </c>
      <c r="D54" s="183">
        <v>400</v>
      </c>
      <c r="E54" s="183">
        <v>400</v>
      </c>
      <c r="F54" s="183">
        <v>400</v>
      </c>
      <c r="G54" s="183">
        <v>400</v>
      </c>
      <c r="H54" s="183">
        <v>400</v>
      </c>
      <c r="I54" s="183">
        <v>1500</v>
      </c>
      <c r="J54" s="183">
        <v>1900</v>
      </c>
      <c r="K54" s="183">
        <v>1900</v>
      </c>
      <c r="L54" s="183">
        <v>900</v>
      </c>
      <c r="M54" s="183">
        <v>900</v>
      </c>
      <c r="N54" s="189">
        <v>3000</v>
      </c>
      <c r="O54" s="187"/>
    </row>
    <row r="55" spans="1:15">
      <c r="A55" s="181">
        <v>48</v>
      </c>
      <c r="B55" s="182" t="s">
        <v>384</v>
      </c>
      <c r="C55" s="182" t="s">
        <v>383</v>
      </c>
      <c r="D55" s="183">
        <v>400</v>
      </c>
      <c r="E55" s="183">
        <v>400</v>
      </c>
      <c r="F55" s="183">
        <v>400</v>
      </c>
      <c r="G55" s="183">
        <v>400</v>
      </c>
      <c r="H55" s="183">
        <v>400</v>
      </c>
      <c r="I55" s="183">
        <v>1600</v>
      </c>
      <c r="J55" s="183">
        <v>2300</v>
      </c>
      <c r="K55" s="183">
        <v>2300</v>
      </c>
      <c r="L55" s="183">
        <v>1200</v>
      </c>
      <c r="M55" s="183">
        <v>1200</v>
      </c>
      <c r="N55" s="189">
        <v>4000</v>
      </c>
      <c r="O55" s="187"/>
    </row>
    <row r="56" spans="1:15">
      <c r="A56" s="181">
        <v>49</v>
      </c>
      <c r="B56" s="182" t="s">
        <v>385</v>
      </c>
      <c r="C56" s="182" t="s">
        <v>380</v>
      </c>
      <c r="D56" s="183">
        <v>450</v>
      </c>
      <c r="E56" s="183">
        <v>450</v>
      </c>
      <c r="F56" s="183">
        <v>450</v>
      </c>
      <c r="G56" s="183">
        <v>450</v>
      </c>
      <c r="H56" s="183">
        <v>450</v>
      </c>
      <c r="I56" s="183">
        <v>1200</v>
      </c>
      <c r="J56" s="183">
        <v>1500</v>
      </c>
      <c r="K56" s="183">
        <v>1500</v>
      </c>
      <c r="L56" s="183">
        <v>500</v>
      </c>
      <c r="M56" s="183">
        <v>500</v>
      </c>
      <c r="N56" s="189">
        <v>2000</v>
      </c>
      <c r="O56" s="187"/>
    </row>
    <row r="57" spans="1:15">
      <c r="A57" s="181">
        <v>50</v>
      </c>
      <c r="B57" s="182" t="s">
        <v>385</v>
      </c>
      <c r="C57" s="182" t="s">
        <v>381</v>
      </c>
      <c r="D57" s="183">
        <v>450</v>
      </c>
      <c r="E57" s="183">
        <v>450</v>
      </c>
      <c r="F57" s="183">
        <v>450</v>
      </c>
      <c r="G57" s="183">
        <v>450</v>
      </c>
      <c r="H57" s="183">
        <v>450</v>
      </c>
      <c r="I57" s="183">
        <v>1350</v>
      </c>
      <c r="J57" s="183">
        <v>1600</v>
      </c>
      <c r="K57" s="183">
        <v>1600</v>
      </c>
      <c r="L57" s="183">
        <v>700</v>
      </c>
      <c r="M57" s="183">
        <v>700</v>
      </c>
      <c r="N57" s="189">
        <v>2500</v>
      </c>
      <c r="O57" s="187"/>
    </row>
    <row r="58" spans="1:15">
      <c r="A58" s="181">
        <v>51</v>
      </c>
      <c r="B58" s="182" t="s">
        <v>385</v>
      </c>
      <c r="C58" s="182" t="s">
        <v>382</v>
      </c>
      <c r="D58" s="183">
        <v>450</v>
      </c>
      <c r="E58" s="183">
        <v>450</v>
      </c>
      <c r="F58" s="183">
        <v>450</v>
      </c>
      <c r="G58" s="183">
        <v>450</v>
      </c>
      <c r="H58" s="183">
        <v>450</v>
      </c>
      <c r="I58" s="183">
        <v>1500</v>
      </c>
      <c r="J58" s="183">
        <v>1800</v>
      </c>
      <c r="K58" s="183">
        <v>1800</v>
      </c>
      <c r="L58" s="183">
        <v>900</v>
      </c>
      <c r="M58" s="183">
        <v>900</v>
      </c>
      <c r="N58" s="189">
        <v>3000</v>
      </c>
      <c r="O58" s="187"/>
    </row>
    <row r="59" spans="1:15">
      <c r="A59" s="184">
        <v>52</v>
      </c>
      <c r="B59" s="182" t="s">
        <v>385</v>
      </c>
      <c r="C59" s="185" t="s">
        <v>383</v>
      </c>
      <c r="D59" s="186">
        <v>450</v>
      </c>
      <c r="E59" s="186">
        <v>450</v>
      </c>
      <c r="F59" s="186">
        <v>450</v>
      </c>
      <c r="G59" s="186">
        <v>450</v>
      </c>
      <c r="H59" s="186">
        <v>450</v>
      </c>
      <c r="I59" s="186">
        <v>1600</v>
      </c>
      <c r="J59" s="186">
        <v>2200</v>
      </c>
      <c r="K59" s="186">
        <v>2200</v>
      </c>
      <c r="L59" s="186">
        <v>1200</v>
      </c>
      <c r="M59" s="186">
        <v>1200</v>
      </c>
      <c r="N59" s="190">
        <v>4000</v>
      </c>
      <c r="O59" s="187"/>
    </row>
    <row r="64" spans="1:15">
      <c r="B64" s="178" t="s">
        <v>386</v>
      </c>
    </row>
    <row r="65" spans="2:2">
      <c r="B65" s="178" t="s">
        <v>386</v>
      </c>
    </row>
    <row r="66" spans="2:2">
      <c r="B66" s="178" t="s">
        <v>386</v>
      </c>
    </row>
    <row r="67" spans="2:2">
      <c r="B67" s="178" t="s">
        <v>386</v>
      </c>
    </row>
  </sheetData>
  <autoFilter ref="A2:N59" xr:uid="{00000000-0009-0000-0000-000001000000}">
    <sortState xmlns:xlrd2="http://schemas.microsoft.com/office/spreadsheetml/2017/richdata2" ref="A2:N59">
      <sortCondition ref="B2:B3"/>
    </sortState>
  </autoFilter>
  <mergeCells count="5">
    <mergeCell ref="B1:N1"/>
    <mergeCell ref="D2:N2"/>
    <mergeCell ref="A2:A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C26" sqref="C26"/>
    </sheetView>
  </sheetViews>
  <sheetFormatPr defaultColWidth="9" defaultRowHeight="15"/>
  <cols>
    <col min="1" max="1" width="8.85546875" style="139"/>
    <col min="2" max="2" width="23.85546875" customWidth="1"/>
    <col min="3" max="3" width="20.42578125" customWidth="1"/>
    <col min="4" max="4" width="14.28515625" customWidth="1"/>
    <col min="5" max="5" width="15.7109375" customWidth="1"/>
    <col min="6" max="6" width="15.85546875" customWidth="1"/>
    <col min="7" max="7" width="22" customWidth="1"/>
    <col min="8" max="8" width="10.28515625" customWidth="1"/>
    <col min="9" max="9" width="9.140625" customWidth="1"/>
    <col min="11" max="11" width="22" customWidth="1"/>
    <col min="12" max="12" width="10.28515625" customWidth="1"/>
    <col min="13" max="13" width="9.140625" customWidth="1"/>
  </cols>
  <sheetData>
    <row r="1" spans="1:13" ht="46.15" customHeight="1">
      <c r="A1" s="244" t="s">
        <v>387</v>
      </c>
      <c r="B1" s="245"/>
      <c r="C1" s="245"/>
      <c r="D1" s="245"/>
      <c r="E1" s="246"/>
      <c r="G1" s="247" t="s">
        <v>388</v>
      </c>
      <c r="H1" s="245"/>
      <c r="I1" s="245"/>
      <c r="J1" s="245"/>
      <c r="K1" s="245"/>
      <c r="L1" s="245"/>
      <c r="M1" s="246"/>
    </row>
    <row r="2" spans="1:13" s="138" customFormat="1" ht="18.600000000000001" customHeight="1">
      <c r="A2" s="140" t="s">
        <v>0</v>
      </c>
      <c r="B2" s="141" t="s">
        <v>389</v>
      </c>
      <c r="C2" s="141" t="s">
        <v>390</v>
      </c>
      <c r="D2" s="141" t="s">
        <v>391</v>
      </c>
      <c r="E2" s="142" t="s">
        <v>392</v>
      </c>
      <c r="G2" s="143" t="s">
        <v>393</v>
      </c>
      <c r="H2" s="144">
        <f>C10</f>
        <v>374.33169518718</v>
      </c>
      <c r="I2" s="171" t="s">
        <v>394</v>
      </c>
      <c r="J2"/>
      <c r="K2" s="143" t="s">
        <v>395</v>
      </c>
      <c r="L2" s="144">
        <f>C11</f>
        <v>466.62017998201799</v>
      </c>
      <c r="M2" s="171" t="s">
        <v>394</v>
      </c>
    </row>
    <row r="3" spans="1:13" ht="45">
      <c r="A3" s="145">
        <v>1</v>
      </c>
      <c r="B3" s="146" t="s">
        <v>396</v>
      </c>
      <c r="C3" s="147">
        <v>25</v>
      </c>
      <c r="D3" s="146" t="s">
        <v>397</v>
      </c>
      <c r="E3" s="248" t="s">
        <v>398</v>
      </c>
      <c r="G3" s="148" t="s">
        <v>399</v>
      </c>
      <c r="H3" s="149" t="s">
        <v>400</v>
      </c>
      <c r="I3" s="172" t="s">
        <v>401</v>
      </c>
      <c r="J3" s="138"/>
      <c r="K3" s="148" t="s">
        <v>399</v>
      </c>
      <c r="L3" s="149" t="s">
        <v>400</v>
      </c>
      <c r="M3" s="172" t="s">
        <v>401</v>
      </c>
    </row>
    <row r="4" spans="1:13">
      <c r="A4" s="145">
        <v>2</v>
      </c>
      <c r="B4" s="146" t="s">
        <v>402</v>
      </c>
      <c r="C4" s="150">
        <v>30000000000</v>
      </c>
      <c r="D4" s="146" t="s">
        <v>403</v>
      </c>
      <c r="E4" s="248"/>
      <c r="G4" s="151" t="s">
        <v>404</v>
      </c>
      <c r="H4" s="152">
        <f>H2*$C$13/$C$12</f>
        <v>126.33694712567301</v>
      </c>
      <c r="I4" s="173">
        <f>H2</f>
        <v>374.33169518718</v>
      </c>
      <c r="K4" s="151" t="s">
        <v>404</v>
      </c>
      <c r="L4" s="152">
        <f>L2*$C$13/$C$12</f>
        <v>157.48431074393099</v>
      </c>
      <c r="M4" s="173">
        <f>L2</f>
        <v>466.62017998201799</v>
      </c>
    </row>
    <row r="5" spans="1:13">
      <c r="A5" s="145">
        <v>3</v>
      </c>
      <c r="B5" s="146" t="s">
        <v>405</v>
      </c>
      <c r="C5" s="153">
        <v>3333333</v>
      </c>
      <c r="D5" s="146" t="s">
        <v>406</v>
      </c>
      <c r="E5" s="248"/>
      <c r="G5" s="151" t="s">
        <v>407</v>
      </c>
      <c r="H5" s="152">
        <f>$H$4*$C$14</f>
        <v>26.530758896391401</v>
      </c>
      <c r="I5" s="174">
        <f>$H$2*C14</f>
        <v>78.609655989307797</v>
      </c>
      <c r="K5" s="151" t="s">
        <v>407</v>
      </c>
      <c r="L5" s="152">
        <f>$L$4*$C$14</f>
        <v>33.071705256225499</v>
      </c>
      <c r="M5" s="174">
        <f>$L$2*C14</f>
        <v>97.990237796223795</v>
      </c>
    </row>
    <row r="6" spans="1:13">
      <c r="A6" s="145">
        <v>4</v>
      </c>
      <c r="B6" s="146" t="s">
        <v>408</v>
      </c>
      <c r="C6" s="153">
        <f>C4/C5</f>
        <v>9000.00090000009</v>
      </c>
      <c r="D6" s="146" t="s">
        <v>409</v>
      </c>
      <c r="E6" s="248"/>
      <c r="G6" s="151" t="s">
        <v>410</v>
      </c>
      <c r="H6" s="152">
        <f>$H$4*$C$15</f>
        <v>30.95255204579</v>
      </c>
      <c r="I6" s="174">
        <f t="shared" ref="I6:I11" si="0">$H$2*C15</f>
        <v>91.711265320859098</v>
      </c>
      <c r="K6" s="151" t="s">
        <v>410</v>
      </c>
      <c r="L6" s="152">
        <f>$L$4*$C$15</f>
        <v>38.583656132263101</v>
      </c>
      <c r="M6" s="174">
        <f t="shared" ref="M6:M11" si="1">$L$2*C15</f>
        <v>114.32194409559401</v>
      </c>
    </row>
    <row r="7" spans="1:13">
      <c r="A7" s="145">
        <v>5</v>
      </c>
      <c r="B7" s="153" t="s">
        <v>411</v>
      </c>
      <c r="C7" s="154">
        <v>1.1666669999999999</v>
      </c>
      <c r="D7" s="146"/>
      <c r="E7" s="248"/>
      <c r="G7" s="151" t="s">
        <v>412</v>
      </c>
      <c r="H7" s="152">
        <f>$H$4*$C$16</f>
        <v>30.95255204579</v>
      </c>
      <c r="I7" s="174">
        <f t="shared" si="0"/>
        <v>91.711265320859098</v>
      </c>
      <c r="K7" s="151" t="s">
        <v>412</v>
      </c>
      <c r="L7" s="152">
        <f>$L$4*$C$16</f>
        <v>38.583656132263101</v>
      </c>
      <c r="M7" s="174">
        <f t="shared" si="1"/>
        <v>114.32194409559401</v>
      </c>
    </row>
    <row r="8" spans="1:13">
      <c r="A8" s="145">
        <v>6</v>
      </c>
      <c r="B8" s="146" t="s">
        <v>413</v>
      </c>
      <c r="C8" s="153">
        <f>C6*C7</f>
        <v>10500.0040500004</v>
      </c>
      <c r="D8" s="146" t="s">
        <v>409</v>
      </c>
      <c r="E8" s="248"/>
      <c r="G8" s="151" t="s">
        <v>414</v>
      </c>
      <c r="H8" s="152">
        <f>$H$4*$C$17</f>
        <v>9.4752710344255</v>
      </c>
      <c r="I8" s="174">
        <f t="shared" si="0"/>
        <v>28.074877139038499</v>
      </c>
      <c r="K8" s="151" t="s">
        <v>414</v>
      </c>
      <c r="L8" s="152">
        <f>$L$4*$C$17</f>
        <v>11.811323305794801</v>
      </c>
      <c r="M8" s="174">
        <f t="shared" si="1"/>
        <v>34.996513498651296</v>
      </c>
    </row>
    <row r="9" spans="1:13">
      <c r="A9" s="145">
        <v>7</v>
      </c>
      <c r="B9" s="146" t="s">
        <v>415</v>
      </c>
      <c r="C9" s="153">
        <f>C8/C3</f>
        <v>420.00016200001602</v>
      </c>
      <c r="D9" s="146" t="s">
        <v>394</v>
      </c>
      <c r="E9" s="248"/>
      <c r="G9" s="151" t="s">
        <v>416</v>
      </c>
      <c r="H9" s="152">
        <f>$H$4*$C$18</f>
        <v>9.4752710344255</v>
      </c>
      <c r="I9" s="174">
        <f t="shared" si="0"/>
        <v>28.074877139038499</v>
      </c>
      <c r="K9" s="151" t="s">
        <v>416</v>
      </c>
      <c r="L9" s="152">
        <f>$L$4*$C$18</f>
        <v>11.811323305794801</v>
      </c>
      <c r="M9" s="174">
        <f t="shared" si="1"/>
        <v>34.996513498651296</v>
      </c>
    </row>
    <row r="10" spans="1:13">
      <c r="A10" s="145">
        <v>8</v>
      </c>
      <c r="B10" s="146" t="s">
        <v>417</v>
      </c>
      <c r="C10" s="155">
        <f>C9/1.122</f>
        <v>374.33169518718</v>
      </c>
      <c r="D10" s="146" t="s">
        <v>394</v>
      </c>
      <c r="E10" s="248"/>
      <c r="G10" s="151" t="s">
        <v>418</v>
      </c>
      <c r="H10" s="152">
        <f>$H$4*$C$19</f>
        <v>9.4752710344255</v>
      </c>
      <c r="I10" s="174">
        <f t="shared" si="0"/>
        <v>28.074877139038499</v>
      </c>
      <c r="K10" s="151" t="s">
        <v>418</v>
      </c>
      <c r="L10" s="152">
        <f>$L$4*$C$19</f>
        <v>11.811323305794801</v>
      </c>
      <c r="M10" s="174">
        <f t="shared" si="1"/>
        <v>34.996513498651296</v>
      </c>
    </row>
    <row r="11" spans="1:13">
      <c r="A11" s="145">
        <v>9</v>
      </c>
      <c r="B11" s="146" t="s">
        <v>419</v>
      </c>
      <c r="C11" s="155">
        <f>C9*1.111</f>
        <v>466.62017998201799</v>
      </c>
      <c r="D11" s="146" t="s">
        <v>394</v>
      </c>
      <c r="E11" s="248"/>
      <c r="G11" s="156" t="s">
        <v>420</v>
      </c>
      <c r="H11" s="157">
        <f>$H$4*$C$20</f>
        <v>9.4752710344255</v>
      </c>
      <c r="I11" s="175">
        <f t="shared" si="0"/>
        <v>28.074877139038499</v>
      </c>
      <c r="J11" s="176"/>
      <c r="K11" s="156" t="s">
        <v>420</v>
      </c>
      <c r="L11" s="157">
        <f>$L$4*$C$20</f>
        <v>11.811323305794801</v>
      </c>
      <c r="M11" s="175">
        <f t="shared" si="1"/>
        <v>34.996513498651296</v>
      </c>
    </row>
    <row r="12" spans="1:13">
      <c r="A12" s="145">
        <v>10</v>
      </c>
      <c r="B12" s="146" t="s">
        <v>421</v>
      </c>
      <c r="C12" s="153">
        <v>4</v>
      </c>
      <c r="D12" s="146" t="s">
        <v>422</v>
      </c>
      <c r="E12" s="248"/>
      <c r="G12" s="238" t="s">
        <v>423</v>
      </c>
      <c r="H12" s="239"/>
      <c r="I12" s="239"/>
      <c r="J12" s="239"/>
      <c r="K12" s="240"/>
    </row>
    <row r="13" spans="1:13">
      <c r="A13" s="145">
        <v>11</v>
      </c>
      <c r="B13" s="146" t="s">
        <v>424</v>
      </c>
      <c r="C13" s="158">
        <v>1.35</v>
      </c>
      <c r="D13" s="146"/>
      <c r="E13" s="248"/>
      <c r="G13" s="241"/>
      <c r="H13" s="242"/>
      <c r="I13" s="242"/>
      <c r="J13" s="242"/>
      <c r="K13" s="243"/>
    </row>
    <row r="14" spans="1:13">
      <c r="A14" s="159">
        <v>12</v>
      </c>
      <c r="B14" s="160" t="s">
        <v>425</v>
      </c>
      <c r="C14" s="161">
        <f>$E$14*0.3</f>
        <v>0.21</v>
      </c>
      <c r="D14" s="160"/>
      <c r="E14" s="249">
        <v>0.7</v>
      </c>
      <c r="G14" s="162"/>
      <c r="H14" s="141" t="s">
        <v>426</v>
      </c>
      <c r="I14" s="141" t="s">
        <v>427</v>
      </c>
      <c r="J14" s="141" t="s">
        <v>428</v>
      </c>
      <c r="K14" s="142" t="s">
        <v>429</v>
      </c>
    </row>
    <row r="15" spans="1:13">
      <c r="A15" s="159">
        <v>13</v>
      </c>
      <c r="B15" s="160" t="s">
        <v>430</v>
      </c>
      <c r="C15" s="161">
        <f>$E$14*0.35</f>
        <v>0.245</v>
      </c>
      <c r="D15" s="160"/>
      <c r="E15" s="249"/>
      <c r="G15" s="252" t="s">
        <v>431</v>
      </c>
      <c r="H15" s="229">
        <f>H4+1</f>
        <v>127.33694712567301</v>
      </c>
      <c r="I15" s="229">
        <f>L4+1</f>
        <v>158.48431074393099</v>
      </c>
      <c r="J15" s="231" t="s">
        <v>432</v>
      </c>
      <c r="K15" s="234" t="s">
        <v>433</v>
      </c>
    </row>
    <row r="16" spans="1:13">
      <c r="A16" s="159">
        <v>14</v>
      </c>
      <c r="B16" s="160" t="s">
        <v>434</v>
      </c>
      <c r="C16" s="161">
        <f>$E$14*0.35</f>
        <v>0.245</v>
      </c>
      <c r="D16" s="160"/>
      <c r="E16" s="249"/>
      <c r="G16" s="253"/>
      <c r="H16" s="237"/>
      <c r="I16" s="237"/>
      <c r="J16" s="232"/>
      <c r="K16" s="235"/>
    </row>
    <row r="17" spans="1:15">
      <c r="A17" s="163">
        <v>15</v>
      </c>
      <c r="B17" s="164" t="s">
        <v>435</v>
      </c>
      <c r="C17" s="165">
        <f>$E$17*0.25</f>
        <v>7.4999999999999997E-2</v>
      </c>
      <c r="D17" s="164"/>
      <c r="E17" s="250">
        <v>0.3</v>
      </c>
      <c r="G17" s="252" t="s">
        <v>436</v>
      </c>
      <c r="H17" s="229">
        <f>(H15*60+H15*7)/60</f>
        <v>142.19292429033499</v>
      </c>
      <c r="I17" s="229">
        <f>(I15*60+I15*7)/60</f>
        <v>176.97414699738999</v>
      </c>
      <c r="J17" s="231" t="s">
        <v>432</v>
      </c>
      <c r="K17" s="235"/>
    </row>
    <row r="18" spans="1:15" ht="14.45" customHeight="1">
      <c r="A18" s="163">
        <v>16</v>
      </c>
      <c r="B18" s="164" t="s">
        <v>437</v>
      </c>
      <c r="C18" s="165">
        <f t="shared" ref="C18:C20" si="2">$E$17*0.25</f>
        <v>7.4999999999999997E-2</v>
      </c>
      <c r="D18" s="164"/>
      <c r="E18" s="250"/>
      <c r="G18" s="253"/>
      <c r="H18" s="237"/>
      <c r="I18" s="237"/>
      <c r="J18" s="232"/>
      <c r="K18" s="235"/>
    </row>
    <row r="19" spans="1:15">
      <c r="A19" s="163">
        <v>17</v>
      </c>
      <c r="B19" s="164" t="s">
        <v>438</v>
      </c>
      <c r="C19" s="165">
        <f t="shared" si="2"/>
        <v>7.4999999999999997E-2</v>
      </c>
      <c r="D19" s="164"/>
      <c r="E19" s="250"/>
      <c r="G19" s="252" t="s">
        <v>439</v>
      </c>
      <c r="H19" s="229">
        <f>H15</f>
        <v>127.33694712567301</v>
      </c>
      <c r="I19" s="229">
        <f>I15</f>
        <v>158.48431074393099</v>
      </c>
      <c r="J19" s="231" t="s">
        <v>432</v>
      </c>
      <c r="K19" s="235"/>
    </row>
    <row r="20" spans="1:15" ht="15" customHeight="1">
      <c r="A20" s="166">
        <v>18</v>
      </c>
      <c r="B20" s="167" t="s">
        <v>440</v>
      </c>
      <c r="C20" s="168">
        <f t="shared" si="2"/>
        <v>7.4999999999999997E-2</v>
      </c>
      <c r="D20" s="167"/>
      <c r="E20" s="251"/>
      <c r="G20" s="254"/>
      <c r="H20" s="230"/>
      <c r="I20" s="230"/>
      <c r="J20" s="233"/>
      <c r="K20" s="236"/>
      <c r="O20" s="177"/>
    </row>
    <row r="21" spans="1:15">
      <c r="C21" s="169"/>
      <c r="E21" s="170"/>
      <c r="O21" s="177"/>
    </row>
    <row r="22" spans="1:15" ht="14.45" customHeight="1"/>
  </sheetData>
  <mergeCells count="19">
    <mergeCell ref="E17:E20"/>
    <mergeCell ref="G15:G16"/>
    <mergeCell ref="G17:G18"/>
    <mergeCell ref="G19:G20"/>
    <mergeCell ref="H15:H16"/>
    <mergeCell ref="H17:H18"/>
    <mergeCell ref="H19:H20"/>
    <mergeCell ref="G12:K13"/>
    <mergeCell ref="A1:E1"/>
    <mergeCell ref="G1:M1"/>
    <mergeCell ref="E3:E13"/>
    <mergeCell ref="E14:E16"/>
    <mergeCell ref="I15:I16"/>
    <mergeCell ref="I19:I20"/>
    <mergeCell ref="J15:J16"/>
    <mergeCell ref="J17:J18"/>
    <mergeCell ref="J19:J20"/>
    <mergeCell ref="K15:K20"/>
    <mergeCell ref="I17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F57"/>
  <sheetViews>
    <sheetView tabSelected="1" zoomScale="78" zoomScaleNormal="78" workbookViewId="0">
      <selection activeCell="O13" sqref="O13"/>
    </sheetView>
  </sheetViews>
  <sheetFormatPr defaultColWidth="8.85546875" defaultRowHeight="16.5"/>
  <cols>
    <col min="1" max="1" width="11.42578125" style="106" customWidth="1"/>
    <col min="2" max="2" width="12.7109375" style="106" customWidth="1"/>
    <col min="3" max="3" width="18.28515625" style="106" bestFit="1" customWidth="1"/>
    <col min="4" max="6" width="14.140625" style="106" customWidth="1"/>
    <col min="7" max="9" width="12.85546875" style="106" customWidth="1"/>
    <col min="10" max="10" width="17.28515625" style="106" customWidth="1"/>
    <col min="11" max="11" width="21.140625" style="106" customWidth="1"/>
    <col min="12" max="12" width="2.140625" style="107" customWidth="1"/>
    <col min="13" max="15" width="17.85546875" style="106" customWidth="1"/>
    <col min="16" max="16" width="14.7109375" style="106" customWidth="1"/>
    <col min="17" max="17" width="22.7109375" style="106" customWidth="1"/>
    <col min="18" max="18" width="16.140625" style="106" customWidth="1"/>
    <col min="19" max="19" width="22.7109375" style="106" customWidth="1"/>
    <col min="20" max="20" width="16.140625" style="106" customWidth="1"/>
    <col min="21" max="22" width="20.28515625" style="106" customWidth="1"/>
    <col min="23" max="23" width="15.7109375" style="106" customWidth="1"/>
    <col min="24" max="24" width="5.28515625" style="107" customWidth="1"/>
    <col min="25" max="25" width="9.7109375" style="106" customWidth="1"/>
    <col min="26" max="26" width="13.28515625" style="106" customWidth="1"/>
    <col min="27" max="27" width="18.5703125" style="106" customWidth="1"/>
    <col min="28" max="28" width="13.28515625" style="106" customWidth="1"/>
    <col min="29" max="29" width="13" style="106" customWidth="1"/>
    <col min="30" max="30" width="21.7109375" style="106" customWidth="1"/>
    <col min="31" max="32" width="26.7109375" style="106" customWidth="1"/>
    <col min="33" max="33" width="23.140625" style="106" customWidth="1"/>
    <col min="34" max="34" width="13.42578125" style="106" customWidth="1"/>
    <col min="35" max="16384" width="8.85546875" style="106"/>
  </cols>
  <sheetData>
    <row r="1" spans="1:32" s="103" customFormat="1" ht="58.15" customHeight="1">
      <c r="A1" s="218" t="s">
        <v>441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118"/>
      <c r="M1" s="218" t="s">
        <v>442</v>
      </c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118"/>
      <c r="Y1" s="218" t="s">
        <v>443</v>
      </c>
      <c r="Z1" s="218"/>
      <c r="AA1" s="218"/>
      <c r="AB1" s="218"/>
      <c r="AC1" s="218"/>
      <c r="AD1" s="218"/>
      <c r="AE1" s="218"/>
      <c r="AF1" s="218"/>
    </row>
    <row r="2" spans="1:32" s="104" customFormat="1" ht="54" customHeight="1">
      <c r="A2" s="108" t="s">
        <v>444</v>
      </c>
      <c r="B2" s="108" t="s">
        <v>444</v>
      </c>
      <c r="C2" s="109" t="s">
        <v>445</v>
      </c>
      <c r="D2" s="110" t="s">
        <v>446</v>
      </c>
      <c r="E2" s="110" t="s">
        <v>446</v>
      </c>
      <c r="F2" s="109" t="s">
        <v>445</v>
      </c>
      <c r="G2" s="109" t="s">
        <v>445</v>
      </c>
      <c r="H2" s="109" t="s">
        <v>445</v>
      </c>
      <c r="I2" s="109" t="s">
        <v>445</v>
      </c>
      <c r="J2" s="110" t="s">
        <v>446</v>
      </c>
      <c r="K2" s="110" t="s">
        <v>446</v>
      </c>
      <c r="L2" s="119"/>
      <c r="M2" s="109" t="s">
        <v>445</v>
      </c>
      <c r="N2" s="109" t="s">
        <v>445</v>
      </c>
      <c r="O2" s="109" t="s">
        <v>445</v>
      </c>
      <c r="P2" s="110" t="s">
        <v>446</v>
      </c>
      <c r="Q2" s="131" t="s">
        <v>914</v>
      </c>
      <c r="R2" s="108" t="s">
        <v>915</v>
      </c>
      <c r="S2" s="131" t="s">
        <v>914</v>
      </c>
      <c r="T2" s="108" t="s">
        <v>915</v>
      </c>
      <c r="U2" s="131" t="s">
        <v>914</v>
      </c>
      <c r="V2" s="108" t="s">
        <v>915</v>
      </c>
      <c r="W2" s="108" t="s">
        <v>915</v>
      </c>
      <c r="X2" s="119"/>
      <c r="Y2" s="108" t="s">
        <v>916</v>
      </c>
      <c r="Z2" s="131" t="s">
        <v>917</v>
      </c>
      <c r="AA2" s="108" t="s">
        <v>915</v>
      </c>
      <c r="AB2" s="108" t="s">
        <v>915</v>
      </c>
      <c r="AC2" s="108" t="s">
        <v>915</v>
      </c>
      <c r="AD2" s="108" t="s">
        <v>915</v>
      </c>
      <c r="AE2" s="108" t="s">
        <v>915</v>
      </c>
      <c r="AF2" s="108" t="s">
        <v>918</v>
      </c>
    </row>
    <row r="3" spans="1:32" s="104" customFormat="1">
      <c r="A3" s="111" t="s">
        <v>447</v>
      </c>
      <c r="B3" s="111" t="s">
        <v>448</v>
      </c>
      <c r="C3" s="111" t="s">
        <v>449</v>
      </c>
      <c r="D3" s="111" t="s">
        <v>450</v>
      </c>
      <c r="E3" s="111" t="s">
        <v>451</v>
      </c>
      <c r="F3" s="111" t="s">
        <v>452</v>
      </c>
      <c r="G3" s="111" t="s">
        <v>453</v>
      </c>
      <c r="H3" s="111" t="s">
        <v>454</v>
      </c>
      <c r="I3" s="111" t="s">
        <v>455</v>
      </c>
      <c r="J3" s="111" t="s">
        <v>456</v>
      </c>
      <c r="K3" s="111" t="s">
        <v>457</v>
      </c>
      <c r="L3" s="119"/>
      <c r="M3" s="111" t="s">
        <v>458</v>
      </c>
      <c r="N3" s="111" t="s">
        <v>459</v>
      </c>
      <c r="O3" s="111" t="s">
        <v>460</v>
      </c>
      <c r="P3" s="111" t="s">
        <v>461</v>
      </c>
      <c r="Q3" s="111" t="s">
        <v>462</v>
      </c>
      <c r="R3" s="111" t="s">
        <v>463</v>
      </c>
      <c r="S3" s="111" t="s">
        <v>464</v>
      </c>
      <c r="T3" s="111" t="s">
        <v>465</v>
      </c>
      <c r="U3" s="111" t="s">
        <v>466</v>
      </c>
      <c r="V3" s="111" t="s">
        <v>467</v>
      </c>
      <c r="W3" s="111" t="s">
        <v>468</v>
      </c>
      <c r="X3" s="119"/>
      <c r="Y3" s="111" t="s">
        <v>469</v>
      </c>
      <c r="Z3" s="104" t="s">
        <v>470</v>
      </c>
      <c r="AA3" s="111" t="s">
        <v>471</v>
      </c>
      <c r="AB3" s="111" t="s">
        <v>472</v>
      </c>
      <c r="AC3" s="111" t="s">
        <v>473</v>
      </c>
      <c r="AD3" s="111" t="s">
        <v>474</v>
      </c>
      <c r="AE3" s="111" t="s">
        <v>475</v>
      </c>
      <c r="AF3" s="111" t="s">
        <v>476</v>
      </c>
    </row>
    <row r="4" spans="1:32" s="105" customFormat="1" ht="49.9" customHeight="1">
      <c r="A4" s="112" t="s">
        <v>477</v>
      </c>
      <c r="B4" s="113" t="s">
        <v>478</v>
      </c>
      <c r="C4" s="113" t="s">
        <v>479</v>
      </c>
      <c r="D4" s="113" t="s">
        <v>480</v>
      </c>
      <c r="E4" s="113" t="s">
        <v>481</v>
      </c>
      <c r="F4" s="113" t="s">
        <v>482</v>
      </c>
      <c r="G4" s="113" t="s">
        <v>483</v>
      </c>
      <c r="H4" s="113" t="s">
        <v>920</v>
      </c>
      <c r="I4" s="113" t="s">
        <v>921</v>
      </c>
      <c r="J4" s="113" t="s">
        <v>484</v>
      </c>
      <c r="K4" s="113" t="s">
        <v>485</v>
      </c>
      <c r="L4" s="120"/>
      <c r="M4" s="113" t="s">
        <v>919</v>
      </c>
      <c r="N4" s="113" t="s">
        <v>922</v>
      </c>
      <c r="O4" s="121" t="s">
        <v>913</v>
      </c>
      <c r="P4" s="122" t="s">
        <v>486</v>
      </c>
      <c r="Q4" s="112" t="s">
        <v>487</v>
      </c>
      <c r="R4" s="113" t="s">
        <v>923</v>
      </c>
      <c r="S4" s="113" t="s">
        <v>488</v>
      </c>
      <c r="T4" s="113" t="s">
        <v>924</v>
      </c>
      <c r="U4" s="113" t="s">
        <v>489</v>
      </c>
      <c r="V4" s="113" t="s">
        <v>925</v>
      </c>
      <c r="W4" s="122" t="s">
        <v>926</v>
      </c>
      <c r="X4" s="120"/>
      <c r="Y4" s="112" t="s">
        <v>477</v>
      </c>
      <c r="Z4" s="113" t="s">
        <v>478</v>
      </c>
      <c r="AA4" s="113" t="s">
        <v>490</v>
      </c>
      <c r="AB4" s="113" t="s">
        <v>491</v>
      </c>
      <c r="AC4" s="113" t="s">
        <v>492</v>
      </c>
      <c r="AD4" s="113" t="s">
        <v>493</v>
      </c>
      <c r="AE4" s="113" t="s">
        <v>494</v>
      </c>
      <c r="AF4" s="122" t="s">
        <v>495</v>
      </c>
    </row>
    <row r="5" spans="1:32" ht="18" customHeight="1">
      <c r="A5" s="114"/>
      <c r="B5" s="115"/>
      <c r="C5" s="115"/>
      <c r="D5" s="115" t="s">
        <v>496</v>
      </c>
      <c r="E5" s="115"/>
      <c r="F5" s="115"/>
      <c r="G5" s="115"/>
      <c r="H5" s="115"/>
      <c r="I5" s="115"/>
      <c r="J5" s="115" t="s">
        <v>497</v>
      </c>
      <c r="K5" s="50" t="s">
        <v>63</v>
      </c>
      <c r="M5" s="115"/>
      <c r="N5" s="115"/>
      <c r="O5" s="124"/>
      <c r="P5" s="125" t="s">
        <v>498</v>
      </c>
      <c r="Q5" s="132" t="s">
        <v>374</v>
      </c>
      <c r="R5" s="62"/>
      <c r="S5" s="62" t="s">
        <v>374</v>
      </c>
      <c r="T5" s="62"/>
      <c r="U5" s="133"/>
      <c r="V5" s="133"/>
      <c r="W5" s="134"/>
      <c r="Y5" s="114"/>
      <c r="Z5" s="115"/>
      <c r="AA5" s="115"/>
      <c r="AB5" s="115"/>
      <c r="AC5" s="115"/>
      <c r="AD5" s="115"/>
      <c r="AE5" s="115"/>
      <c r="AF5" s="126"/>
    </row>
    <row r="6" spans="1:32" ht="18" customHeight="1">
      <c r="A6" s="114"/>
      <c r="B6" s="115"/>
      <c r="C6" s="11">
        <v>1004240301931</v>
      </c>
      <c r="D6" s="115" t="s">
        <v>499</v>
      </c>
      <c r="E6" s="115"/>
      <c r="F6" s="115"/>
      <c r="G6" s="115"/>
      <c r="H6" s="115"/>
      <c r="I6" s="115"/>
      <c r="J6" s="115" t="s">
        <v>500</v>
      </c>
      <c r="K6" s="50" t="s">
        <v>75</v>
      </c>
      <c r="M6" s="115">
        <v>300</v>
      </c>
      <c r="N6" s="115">
        <v>1</v>
      </c>
      <c r="O6" s="124">
        <v>3</v>
      </c>
      <c r="P6" s="125" t="s">
        <v>501</v>
      </c>
      <c r="Q6" s="132" t="s">
        <v>375</v>
      </c>
      <c r="R6" s="62"/>
      <c r="S6" s="62" t="s">
        <v>375</v>
      </c>
      <c r="T6" s="62"/>
      <c r="U6" s="115"/>
      <c r="V6" s="115"/>
      <c r="W6" s="126"/>
      <c r="Y6" s="114"/>
      <c r="Z6" s="115"/>
      <c r="AA6" s="115"/>
      <c r="AB6" s="115"/>
      <c r="AC6" s="115"/>
      <c r="AD6" s="115"/>
      <c r="AE6" s="115"/>
      <c r="AF6" s="126"/>
    </row>
    <row r="7" spans="1:32" ht="18" customHeight="1">
      <c r="A7" s="114"/>
      <c r="B7" s="115"/>
      <c r="C7" s="11">
        <v>1001240606311</v>
      </c>
      <c r="D7" s="115"/>
      <c r="E7" s="115"/>
      <c r="F7" s="115"/>
      <c r="G7" s="115"/>
      <c r="H7" s="115"/>
      <c r="I7" s="115"/>
      <c r="J7" s="115"/>
      <c r="K7" s="50" t="s">
        <v>91</v>
      </c>
      <c r="M7" s="115">
        <v>1800</v>
      </c>
      <c r="N7" s="115">
        <v>1</v>
      </c>
      <c r="O7" s="124">
        <v>4</v>
      </c>
      <c r="P7" s="125" t="s">
        <v>502</v>
      </c>
      <c r="Q7" s="132" t="s">
        <v>376</v>
      </c>
      <c r="R7" s="62"/>
      <c r="S7" s="62" t="s">
        <v>376</v>
      </c>
      <c r="T7" s="62"/>
      <c r="U7" s="115"/>
      <c r="V7" s="115"/>
      <c r="W7" s="126"/>
      <c r="Y7" s="114"/>
      <c r="Z7" s="115"/>
      <c r="AA7" s="115"/>
      <c r="AB7" s="115"/>
      <c r="AC7" s="115"/>
      <c r="AD7" s="115"/>
      <c r="AE7" s="115"/>
      <c r="AF7" s="126"/>
    </row>
    <row r="8" spans="1:32" ht="18" customHeight="1">
      <c r="A8" s="114"/>
      <c r="B8" s="115"/>
      <c r="C8" s="115"/>
      <c r="D8" s="115"/>
      <c r="E8" s="115"/>
      <c r="F8" s="115"/>
      <c r="G8" s="115"/>
      <c r="H8" s="115"/>
      <c r="I8" s="115"/>
      <c r="J8" s="115"/>
      <c r="K8" s="50" t="s">
        <v>134</v>
      </c>
      <c r="M8" s="115"/>
      <c r="N8" s="115"/>
      <c r="O8" s="124"/>
      <c r="P8" s="125" t="s">
        <v>503</v>
      </c>
      <c r="Q8" s="132" t="s">
        <v>369</v>
      </c>
      <c r="R8" s="62"/>
      <c r="S8" s="115"/>
      <c r="T8" s="115"/>
      <c r="U8" s="115"/>
      <c r="V8" s="115"/>
      <c r="W8" s="126"/>
      <c r="Y8" s="114"/>
      <c r="Z8" s="115"/>
      <c r="AA8" s="115"/>
      <c r="AB8" s="115"/>
      <c r="AC8" s="115"/>
      <c r="AD8" s="115"/>
      <c r="AE8" s="115"/>
      <c r="AF8" s="126"/>
    </row>
    <row r="9" spans="1:32" ht="18" customHeight="1">
      <c r="A9" s="114"/>
      <c r="B9" s="115"/>
      <c r="C9" s="115"/>
      <c r="D9" s="115"/>
      <c r="E9" s="115"/>
      <c r="F9" s="115"/>
      <c r="G9" s="115"/>
      <c r="H9" s="115"/>
      <c r="I9" s="115"/>
      <c r="J9" s="115"/>
      <c r="K9" s="50" t="s">
        <v>161</v>
      </c>
      <c r="M9" s="115"/>
      <c r="N9" s="115"/>
      <c r="O9" s="124"/>
      <c r="P9" s="125" t="s">
        <v>504</v>
      </c>
      <c r="Q9" s="132" t="s">
        <v>370</v>
      </c>
      <c r="R9" s="62"/>
      <c r="S9" s="62" t="s">
        <v>377</v>
      </c>
      <c r="T9" s="62"/>
      <c r="U9" s="62" t="s">
        <v>377</v>
      </c>
      <c r="V9" s="62"/>
      <c r="W9" s="135"/>
      <c r="Y9" s="114"/>
      <c r="Z9" s="115"/>
      <c r="AA9" s="115"/>
      <c r="AB9" s="115"/>
      <c r="AC9" s="115"/>
      <c r="AD9" s="115"/>
      <c r="AE9" s="115"/>
      <c r="AF9" s="126"/>
    </row>
    <row r="10" spans="1:32" ht="18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5"/>
      <c r="K10" s="50" t="s">
        <v>164</v>
      </c>
      <c r="M10" s="115"/>
      <c r="N10" s="115"/>
      <c r="O10" s="124"/>
      <c r="P10" s="125" t="s">
        <v>505</v>
      </c>
      <c r="Q10" s="132" t="s">
        <v>371</v>
      </c>
      <c r="R10" s="62"/>
      <c r="S10" s="62" t="s">
        <v>378</v>
      </c>
      <c r="T10" s="62"/>
      <c r="U10" s="62" t="s">
        <v>378</v>
      </c>
      <c r="V10" s="62"/>
      <c r="W10" s="135"/>
      <c r="Y10" s="114"/>
      <c r="Z10" s="115"/>
      <c r="AA10" s="115"/>
      <c r="AB10" s="115"/>
      <c r="AC10" s="115"/>
      <c r="AD10" s="115"/>
      <c r="AE10" s="115"/>
      <c r="AF10" s="126"/>
    </row>
    <row r="11" spans="1:32" ht="18" customHeight="1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50" t="s">
        <v>167</v>
      </c>
      <c r="M11" s="115"/>
      <c r="N11" s="115"/>
      <c r="O11" s="124"/>
      <c r="P11" s="125" t="s">
        <v>506</v>
      </c>
      <c r="Q11" s="132" t="s">
        <v>372</v>
      </c>
      <c r="R11" s="62"/>
      <c r="S11" s="123"/>
      <c r="T11" s="123"/>
      <c r="U11" s="115"/>
      <c r="V11" s="115"/>
      <c r="W11" s="126"/>
      <c r="Y11" s="114"/>
      <c r="Z11" s="115"/>
      <c r="AA11" s="115"/>
      <c r="AB11" s="115"/>
      <c r="AC11" s="115"/>
      <c r="AD11" s="115"/>
      <c r="AE11" s="115"/>
      <c r="AF11" s="126"/>
    </row>
    <row r="12" spans="1:32" ht="18" customHeight="1">
      <c r="A12" s="114"/>
      <c r="B12" s="115"/>
      <c r="C12" s="115"/>
      <c r="D12" s="115"/>
      <c r="E12" s="115"/>
      <c r="F12" s="115"/>
      <c r="G12" s="115"/>
      <c r="H12" s="115"/>
      <c r="I12" s="115"/>
      <c r="J12" s="115"/>
      <c r="K12" s="50" t="s">
        <v>171</v>
      </c>
      <c r="M12" s="115"/>
      <c r="N12" s="115"/>
      <c r="O12" s="124"/>
      <c r="P12" s="126"/>
      <c r="Q12" s="132" t="s">
        <v>373</v>
      </c>
      <c r="R12" s="62"/>
      <c r="S12" s="115"/>
      <c r="T12" s="115"/>
      <c r="U12" s="115"/>
      <c r="V12" s="115"/>
      <c r="W12" s="126"/>
      <c r="Y12" s="114"/>
      <c r="Z12" s="115"/>
      <c r="AA12" s="115"/>
      <c r="AB12" s="115"/>
      <c r="AC12" s="115"/>
      <c r="AD12" s="115"/>
      <c r="AE12" s="115"/>
      <c r="AF12" s="126"/>
    </row>
    <row r="13" spans="1:32" ht="18" customHeight="1">
      <c r="A13" s="114"/>
      <c r="B13" s="115"/>
      <c r="C13" s="115"/>
      <c r="D13" s="115"/>
      <c r="E13" s="115"/>
      <c r="F13" s="115"/>
      <c r="G13" s="115"/>
      <c r="H13" s="115"/>
      <c r="I13" s="115"/>
      <c r="J13" s="115"/>
      <c r="K13" s="50" t="s">
        <v>175</v>
      </c>
      <c r="M13" s="115"/>
      <c r="N13" s="115"/>
      <c r="O13" s="124"/>
      <c r="P13" s="126"/>
      <c r="Q13" s="114"/>
      <c r="R13" s="115"/>
      <c r="S13" s="62" t="s">
        <v>379</v>
      </c>
      <c r="T13" s="62"/>
      <c r="U13" s="115"/>
      <c r="V13" s="115"/>
      <c r="W13" s="126"/>
      <c r="Y13" s="114"/>
      <c r="Z13" s="115"/>
      <c r="AA13" s="115"/>
      <c r="AB13" s="115"/>
      <c r="AC13" s="115"/>
      <c r="AD13" s="115"/>
      <c r="AE13" s="115"/>
      <c r="AF13" s="126"/>
    </row>
    <row r="14" spans="1:32" ht="18" customHeight="1">
      <c r="A14" s="114"/>
      <c r="B14" s="115"/>
      <c r="C14" s="115"/>
      <c r="D14" s="115"/>
      <c r="E14" s="115"/>
      <c r="F14" s="115"/>
      <c r="G14" s="115"/>
      <c r="H14" s="115"/>
      <c r="I14" s="115"/>
      <c r="J14" s="115"/>
      <c r="K14" s="50" t="s">
        <v>179</v>
      </c>
      <c r="M14" s="115"/>
      <c r="N14" s="115"/>
      <c r="O14" s="124"/>
      <c r="P14" s="126"/>
      <c r="Q14" s="114"/>
      <c r="R14" s="115"/>
      <c r="S14" s="115"/>
      <c r="T14" s="115"/>
      <c r="U14" s="115"/>
      <c r="V14" s="115"/>
      <c r="W14" s="126"/>
      <c r="Y14" s="114"/>
      <c r="Z14" s="115"/>
      <c r="AA14" s="115"/>
      <c r="AB14" s="115"/>
      <c r="AC14" s="115"/>
      <c r="AD14" s="115"/>
      <c r="AE14" s="115"/>
      <c r="AF14" s="126"/>
    </row>
    <row r="15" spans="1:32" ht="18" customHeight="1">
      <c r="A15" s="114"/>
      <c r="B15" s="115"/>
      <c r="C15" s="115"/>
      <c r="D15" s="115"/>
      <c r="E15" s="115"/>
      <c r="F15" s="115"/>
      <c r="G15" s="115"/>
      <c r="H15" s="115"/>
      <c r="I15" s="115"/>
      <c r="J15" s="115"/>
      <c r="K15" s="123" t="s">
        <v>507</v>
      </c>
      <c r="M15" s="115"/>
      <c r="N15" s="115"/>
      <c r="O15" s="124"/>
      <c r="P15" s="126"/>
      <c r="Q15" s="114"/>
      <c r="R15" s="115"/>
      <c r="S15" s="123"/>
      <c r="T15" s="123"/>
      <c r="U15" s="115"/>
      <c r="V15" s="115"/>
      <c r="W15" s="126"/>
      <c r="Y15" s="114"/>
      <c r="Z15" s="115"/>
      <c r="AA15" s="115"/>
      <c r="AB15" s="115"/>
      <c r="AC15" s="115"/>
      <c r="AD15" s="115"/>
      <c r="AE15" s="115"/>
      <c r="AF15" s="126"/>
    </row>
    <row r="16" spans="1:32" ht="18" customHeight="1">
      <c r="A16" s="114"/>
      <c r="B16" s="115"/>
      <c r="C16" s="115"/>
      <c r="D16" s="115"/>
      <c r="E16" s="115"/>
      <c r="F16" s="115"/>
      <c r="G16" s="115"/>
      <c r="H16" s="115"/>
      <c r="I16" s="115"/>
      <c r="J16" s="115"/>
      <c r="K16" s="123" t="s">
        <v>384</v>
      </c>
      <c r="M16" s="115"/>
      <c r="N16" s="115"/>
      <c r="O16" s="124"/>
      <c r="P16" s="126"/>
      <c r="Q16" s="114"/>
      <c r="R16" s="115"/>
      <c r="S16" s="115"/>
      <c r="T16" s="115"/>
      <c r="U16" s="115"/>
      <c r="V16" s="115"/>
      <c r="W16" s="126"/>
      <c r="Y16" s="114"/>
      <c r="Z16" s="115"/>
      <c r="AA16" s="115"/>
      <c r="AB16" s="115"/>
      <c r="AC16" s="115"/>
      <c r="AD16" s="115"/>
      <c r="AE16" s="115"/>
      <c r="AF16" s="126"/>
    </row>
    <row r="17" spans="1:32" ht="18" customHeight="1">
      <c r="A17" s="114"/>
      <c r="B17" s="115"/>
      <c r="C17" s="115"/>
      <c r="D17" s="115"/>
      <c r="E17" s="115"/>
      <c r="F17" s="115"/>
      <c r="G17" s="115"/>
      <c r="H17" s="115"/>
      <c r="I17" s="115"/>
      <c r="J17" s="115"/>
      <c r="K17" s="123" t="s">
        <v>385</v>
      </c>
      <c r="M17" s="115"/>
      <c r="N17" s="115"/>
      <c r="O17" s="124"/>
      <c r="P17" s="126"/>
      <c r="Q17" s="114"/>
      <c r="R17" s="115"/>
      <c r="S17" s="123"/>
      <c r="T17" s="123"/>
      <c r="U17" s="115"/>
      <c r="V17" s="115"/>
      <c r="W17" s="126"/>
      <c r="Y17" s="114"/>
      <c r="Z17" s="115"/>
      <c r="AA17" s="115"/>
      <c r="AB17" s="115"/>
      <c r="AC17" s="115"/>
      <c r="AD17" s="115"/>
      <c r="AE17" s="115"/>
      <c r="AF17" s="126"/>
    </row>
    <row r="18" spans="1:32" ht="18" customHeight="1">
      <c r="A18" s="114"/>
      <c r="B18" s="115"/>
      <c r="C18" s="115"/>
      <c r="D18" s="115"/>
      <c r="E18" s="115"/>
      <c r="F18" s="115"/>
      <c r="G18" s="115"/>
      <c r="H18" s="115"/>
      <c r="I18" s="115"/>
      <c r="J18" s="115"/>
      <c r="K18" s="123" t="s">
        <v>508</v>
      </c>
      <c r="M18" s="115"/>
      <c r="N18" s="115"/>
      <c r="O18" s="124"/>
      <c r="P18" s="127"/>
      <c r="Q18" s="114"/>
      <c r="R18" s="115"/>
      <c r="S18" s="115"/>
      <c r="T18" s="115"/>
      <c r="U18" s="115"/>
      <c r="V18" s="115"/>
      <c r="W18" s="126"/>
      <c r="Y18" s="114"/>
      <c r="Z18" s="115"/>
      <c r="AA18" s="115"/>
      <c r="AB18" s="115"/>
      <c r="AC18" s="115"/>
      <c r="AD18" s="115"/>
      <c r="AE18" s="115"/>
      <c r="AF18" s="126"/>
    </row>
    <row r="19" spans="1:32" ht="18" customHeight="1">
      <c r="A19" s="114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M19" s="115"/>
      <c r="N19" s="115"/>
      <c r="O19" s="124"/>
      <c r="P19" s="126"/>
      <c r="Q19" s="114"/>
      <c r="R19" s="115"/>
      <c r="S19" s="123"/>
      <c r="T19" s="123"/>
      <c r="U19" s="115"/>
      <c r="V19" s="115"/>
      <c r="W19" s="126"/>
      <c r="Y19" s="114"/>
      <c r="Z19" s="115"/>
      <c r="AA19" s="115"/>
      <c r="AB19" s="115"/>
      <c r="AC19" s="115"/>
      <c r="AD19" s="115"/>
      <c r="AE19" s="115"/>
      <c r="AF19" s="126"/>
    </row>
    <row r="20" spans="1:32" ht="18" customHeight="1">
      <c r="A20" s="116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M20" s="117"/>
      <c r="N20" s="117"/>
      <c r="O20" s="128"/>
      <c r="P20" s="129"/>
      <c r="Q20" s="116"/>
      <c r="R20" s="117"/>
      <c r="S20" s="136"/>
      <c r="T20" s="136"/>
      <c r="U20" s="117"/>
      <c r="V20" s="117"/>
      <c r="W20" s="137"/>
      <c r="Y20" s="116"/>
      <c r="Z20" s="117"/>
      <c r="AA20" s="117"/>
      <c r="AB20" s="117"/>
      <c r="AC20" s="117"/>
      <c r="AD20" s="117"/>
      <c r="AE20" s="117"/>
      <c r="AF20" s="137"/>
    </row>
    <row r="21" spans="1:32" ht="18" customHeight="1">
      <c r="P21" s="130"/>
      <c r="S21" s="130"/>
      <c r="T21" s="130"/>
    </row>
    <row r="22" spans="1:32" ht="18" customHeight="1">
      <c r="P22" s="130"/>
    </row>
    <row r="23" spans="1:32" ht="18" customHeight="1">
      <c r="S23" s="130"/>
      <c r="T23" s="130"/>
    </row>
    <row r="24" spans="1:32" ht="18" customHeight="1">
      <c r="P24" s="130"/>
      <c r="S24" s="130"/>
      <c r="T24" s="130"/>
    </row>
    <row r="25" spans="1:32" ht="18" customHeight="1">
      <c r="P25" s="130"/>
      <c r="S25" s="130"/>
      <c r="T25" s="130"/>
    </row>
    <row r="26" spans="1:32" ht="18" customHeight="1">
      <c r="P26" s="130"/>
    </row>
    <row r="27" spans="1:32" ht="18" customHeight="1">
      <c r="S27" s="130"/>
      <c r="T27" s="130"/>
    </row>
    <row r="28" spans="1:32">
      <c r="P28" s="130"/>
      <c r="S28" s="130"/>
      <c r="T28" s="130"/>
    </row>
    <row r="29" spans="1:32">
      <c r="P29" s="130"/>
      <c r="S29" s="130"/>
      <c r="T29" s="130"/>
    </row>
    <row r="31" spans="1:32">
      <c r="S31" s="130"/>
      <c r="T31" s="130"/>
    </row>
    <row r="32" spans="1:32">
      <c r="S32" s="130"/>
      <c r="T32" s="130"/>
    </row>
    <row r="33" spans="19:20">
      <c r="S33" s="130"/>
      <c r="T33" s="130"/>
    </row>
    <row r="35" spans="19:20">
      <c r="S35" s="130"/>
      <c r="T35" s="130"/>
    </row>
    <row r="36" spans="19:20">
      <c r="S36" s="130"/>
      <c r="T36" s="130"/>
    </row>
    <row r="37" spans="19:20">
      <c r="S37" s="130"/>
      <c r="T37" s="130"/>
    </row>
    <row r="39" spans="19:20">
      <c r="S39" s="130"/>
      <c r="T39" s="130"/>
    </row>
    <row r="40" spans="19:20">
      <c r="S40" s="130"/>
      <c r="T40" s="130"/>
    </row>
    <row r="41" spans="19:20">
      <c r="S41" s="130"/>
      <c r="T41" s="130"/>
    </row>
    <row r="43" spans="19:20">
      <c r="S43" s="130"/>
      <c r="T43" s="130"/>
    </row>
    <row r="44" spans="19:20">
      <c r="S44" s="130"/>
      <c r="T44" s="130"/>
    </row>
    <row r="57" spans="19:20">
      <c r="S57" s="130"/>
      <c r="T57" s="130"/>
    </row>
  </sheetData>
  <sortState xmlns:xlrd2="http://schemas.microsoft.com/office/spreadsheetml/2017/richdata2" ref="U9:U10">
    <sortCondition ref="U9:U10"/>
  </sortState>
  <mergeCells count="3">
    <mergeCell ref="A1:K1"/>
    <mergeCell ref="M1:W1"/>
    <mergeCell ref="Y1:AF1"/>
  </mergeCells>
  <conditionalFormatting sqref="C6">
    <cfRule type="duplicateValues" dxfId="11" priority="2"/>
  </conditionalFormatting>
  <conditionalFormatting sqref="C7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7"/>
  <sheetViews>
    <sheetView zoomScale="70" zoomScaleNormal="70" workbookViewId="0">
      <pane ySplit="3" topLeftCell="A4" activePane="bottomLeft" state="frozen"/>
      <selection pane="bottomLeft" activeCell="R28" sqref="R28"/>
    </sheetView>
  </sheetViews>
  <sheetFormatPr defaultColWidth="7.42578125" defaultRowHeight="15"/>
  <cols>
    <col min="1" max="1" width="7.42578125" style="54"/>
    <col min="2" max="2" width="12.28515625" style="56" customWidth="1"/>
    <col min="3" max="4" width="7.42578125" style="56"/>
    <col min="5" max="13" width="7.42578125" style="43"/>
    <col min="14" max="14" width="8.140625" style="43" customWidth="1"/>
    <col min="15" max="20" width="7.42578125" style="43"/>
    <col min="21" max="21" width="11" style="43" bestFit="1" customWidth="1"/>
    <col min="22" max="16384" width="7.42578125" style="43"/>
  </cols>
  <sheetData>
    <row r="1" spans="1:29" ht="46.15" hidden="1" customHeight="1">
      <c r="A1" s="255" t="s">
        <v>509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44"/>
      <c r="Q1" s="44"/>
      <c r="R1" s="44"/>
      <c r="S1" s="44"/>
      <c r="T1" s="44"/>
    </row>
    <row r="2" spans="1:29" s="54" customFormat="1" ht="31.9" hidden="1" customHeight="1">
      <c r="A2" s="256" t="s">
        <v>510</v>
      </c>
      <c r="B2" s="257"/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8"/>
    </row>
    <row r="3" spans="1:29" s="55" customFormat="1" ht="57" customHeight="1">
      <c r="A3" s="58" t="s">
        <v>477</v>
      </c>
      <c r="B3" s="58" t="s">
        <v>511</v>
      </c>
      <c r="C3" s="52" t="s">
        <v>512</v>
      </c>
      <c r="D3" s="52" t="s">
        <v>513</v>
      </c>
      <c r="E3" s="59" t="s">
        <v>514</v>
      </c>
      <c r="F3" s="59" t="s">
        <v>515</v>
      </c>
      <c r="G3" s="59" t="s">
        <v>516</v>
      </c>
      <c r="H3" s="59" t="s">
        <v>517</v>
      </c>
      <c r="I3" s="59" t="s">
        <v>518</v>
      </c>
      <c r="J3" s="59" t="s">
        <v>519</v>
      </c>
      <c r="K3" s="59" t="s">
        <v>520</v>
      </c>
      <c r="L3" s="59" t="s">
        <v>521</v>
      </c>
      <c r="M3" s="59" t="s">
        <v>522</v>
      </c>
      <c r="N3" s="59" t="s">
        <v>523</v>
      </c>
      <c r="O3" s="59" t="s">
        <v>524</v>
      </c>
      <c r="P3" s="59" t="s">
        <v>525</v>
      </c>
      <c r="Q3" s="59" t="s">
        <v>526</v>
      </c>
      <c r="R3" s="59" t="s">
        <v>527</v>
      </c>
      <c r="S3" s="59" t="s">
        <v>528</v>
      </c>
      <c r="T3" s="59" t="s">
        <v>529</v>
      </c>
      <c r="U3" s="51" t="s">
        <v>530</v>
      </c>
      <c r="V3" s="58" t="s">
        <v>531</v>
      </c>
      <c r="W3" s="58" t="s">
        <v>532</v>
      </c>
      <c r="X3" s="58" t="s">
        <v>533</v>
      </c>
      <c r="Y3" s="58" t="s">
        <v>534</v>
      </c>
      <c r="Z3" s="58" t="s">
        <v>489</v>
      </c>
      <c r="AA3" s="58" t="s">
        <v>535</v>
      </c>
      <c r="AB3" s="58" t="s">
        <v>536</v>
      </c>
      <c r="AC3" s="58" t="s">
        <v>524</v>
      </c>
    </row>
    <row r="4" spans="1:29" s="54" customFormat="1" ht="25.9" customHeight="1">
      <c r="A4" s="53">
        <v>1</v>
      </c>
      <c r="B4" s="46" t="s">
        <v>498</v>
      </c>
      <c r="C4" s="98"/>
      <c r="D4" s="98" t="s">
        <v>537</v>
      </c>
      <c r="E4" s="98" t="s">
        <v>537</v>
      </c>
      <c r="F4" s="98"/>
      <c r="G4" s="98"/>
      <c r="H4" s="99"/>
      <c r="I4" s="99"/>
      <c r="J4" s="101"/>
      <c r="K4" s="101"/>
      <c r="L4" s="101"/>
      <c r="M4" s="101"/>
      <c r="N4" s="101"/>
      <c r="O4" s="102" t="s">
        <v>537</v>
      </c>
      <c r="P4" s="102" t="s">
        <v>537</v>
      </c>
      <c r="Q4" s="102" t="s">
        <v>537</v>
      </c>
      <c r="R4" s="102" t="s">
        <v>537</v>
      </c>
      <c r="S4" s="102" t="s">
        <v>537</v>
      </c>
      <c r="T4" s="102"/>
      <c r="U4" s="259" t="s">
        <v>538</v>
      </c>
      <c r="V4" s="46" t="s">
        <v>498</v>
      </c>
      <c r="W4" s="53" t="s">
        <v>537</v>
      </c>
      <c r="X4" s="53" t="s">
        <v>537</v>
      </c>
      <c r="Y4" s="53"/>
      <c r="Z4" s="53"/>
      <c r="AA4" s="53"/>
      <c r="AB4" s="53"/>
      <c r="AC4" s="53" t="s">
        <v>537</v>
      </c>
    </row>
    <row r="5" spans="1:29" ht="25.9" customHeight="1">
      <c r="A5" s="53">
        <v>2</v>
      </c>
      <c r="B5" s="46" t="s">
        <v>501</v>
      </c>
      <c r="C5" s="98" t="s">
        <v>537</v>
      </c>
      <c r="D5" s="98" t="s">
        <v>537</v>
      </c>
      <c r="E5" s="98" t="s">
        <v>537</v>
      </c>
      <c r="F5" s="98"/>
      <c r="G5" s="98"/>
      <c r="H5" s="99"/>
      <c r="I5" s="99"/>
      <c r="J5" s="101"/>
      <c r="K5" s="101"/>
      <c r="L5" s="101"/>
      <c r="M5" s="101"/>
      <c r="N5" s="101"/>
      <c r="O5" s="102" t="s">
        <v>537</v>
      </c>
      <c r="P5" s="102" t="s">
        <v>537</v>
      </c>
      <c r="Q5" s="102" t="s">
        <v>537</v>
      </c>
      <c r="R5" s="102" t="s">
        <v>537</v>
      </c>
      <c r="S5" s="102" t="s">
        <v>537</v>
      </c>
      <c r="T5" s="102"/>
      <c r="U5" s="259"/>
      <c r="V5" s="46" t="s">
        <v>501</v>
      </c>
      <c r="W5" s="88" t="s">
        <v>537</v>
      </c>
      <c r="X5" s="88" t="s">
        <v>537</v>
      </c>
      <c r="Y5" s="88"/>
      <c r="Z5" s="88"/>
      <c r="AA5" s="88"/>
      <c r="AB5" s="88" t="s">
        <v>537</v>
      </c>
      <c r="AC5" s="88" t="s">
        <v>537</v>
      </c>
    </row>
    <row r="6" spans="1:29" ht="25.9" customHeight="1">
      <c r="A6" s="53">
        <v>3</v>
      </c>
      <c r="B6" s="46" t="s">
        <v>502</v>
      </c>
      <c r="C6" s="98"/>
      <c r="D6" s="98" t="s">
        <v>537</v>
      </c>
      <c r="E6" s="98" t="s">
        <v>537</v>
      </c>
      <c r="F6" s="98" t="s">
        <v>537</v>
      </c>
      <c r="G6" s="98"/>
      <c r="H6" s="99"/>
      <c r="I6" s="99"/>
      <c r="J6" s="101"/>
      <c r="K6" s="101"/>
      <c r="L6" s="101"/>
      <c r="M6" s="101"/>
      <c r="N6" s="101"/>
      <c r="O6" s="102" t="s">
        <v>537</v>
      </c>
      <c r="P6" s="102" t="s">
        <v>537</v>
      </c>
      <c r="Q6" s="102" t="s">
        <v>537</v>
      </c>
      <c r="R6" s="102" t="s">
        <v>537</v>
      </c>
      <c r="S6" s="102" t="s">
        <v>537</v>
      </c>
      <c r="T6" s="102"/>
      <c r="U6" s="259"/>
      <c r="V6" s="46" t="s">
        <v>502</v>
      </c>
      <c r="W6" s="88" t="s">
        <v>537</v>
      </c>
      <c r="X6" s="88" t="s">
        <v>537</v>
      </c>
      <c r="Y6" s="88" t="s">
        <v>537</v>
      </c>
      <c r="Z6" s="88"/>
      <c r="AA6" s="88"/>
      <c r="AB6" s="88" t="s">
        <v>537</v>
      </c>
      <c r="AC6" s="88" t="s">
        <v>537</v>
      </c>
    </row>
    <row r="7" spans="1:29" ht="25.9" customHeight="1">
      <c r="A7" s="53">
        <v>4</v>
      </c>
      <c r="B7" s="46" t="s">
        <v>503</v>
      </c>
      <c r="C7" s="98" t="s">
        <v>537</v>
      </c>
      <c r="D7" s="98" t="s">
        <v>537</v>
      </c>
      <c r="E7" s="98" t="s">
        <v>537</v>
      </c>
      <c r="F7" s="98" t="s">
        <v>537</v>
      </c>
      <c r="G7" s="98"/>
      <c r="H7" s="99"/>
      <c r="I7" s="99"/>
      <c r="J7" s="101"/>
      <c r="K7" s="101"/>
      <c r="L7" s="101"/>
      <c r="M7" s="101"/>
      <c r="N7" s="101"/>
      <c r="O7" s="102" t="s">
        <v>537</v>
      </c>
      <c r="P7" s="102" t="s">
        <v>537</v>
      </c>
      <c r="Q7" s="102" t="s">
        <v>537</v>
      </c>
      <c r="R7" s="102" t="s">
        <v>537</v>
      </c>
      <c r="S7" s="102" t="s">
        <v>537</v>
      </c>
      <c r="T7" s="102"/>
      <c r="U7" s="259"/>
      <c r="V7" s="46" t="s">
        <v>503</v>
      </c>
      <c r="W7" s="52" t="s">
        <v>537</v>
      </c>
      <c r="X7" s="88" t="s">
        <v>537</v>
      </c>
      <c r="Y7" s="88"/>
      <c r="Z7" s="88" t="s">
        <v>537</v>
      </c>
      <c r="AA7" s="88" t="s">
        <v>537</v>
      </c>
      <c r="AB7" s="88"/>
      <c r="AC7" s="88"/>
    </row>
    <row r="8" spans="1:29" ht="25.9" customHeight="1">
      <c r="A8" s="53">
        <v>5</v>
      </c>
      <c r="B8" s="46" t="s">
        <v>504</v>
      </c>
      <c r="C8" s="98"/>
      <c r="D8" s="98" t="s">
        <v>537</v>
      </c>
      <c r="E8" s="98" t="s">
        <v>537</v>
      </c>
      <c r="F8" s="98"/>
      <c r="G8" s="98" t="s">
        <v>537</v>
      </c>
      <c r="H8" s="99"/>
      <c r="I8" s="99"/>
      <c r="J8" s="101" t="s">
        <v>537</v>
      </c>
      <c r="K8" s="101"/>
      <c r="L8" s="101"/>
      <c r="M8" s="101"/>
      <c r="N8" s="101"/>
      <c r="O8" s="102" t="s">
        <v>537</v>
      </c>
      <c r="P8" s="102" t="s">
        <v>537</v>
      </c>
      <c r="Q8" s="102" t="s">
        <v>537</v>
      </c>
      <c r="R8" s="102" t="s">
        <v>537</v>
      </c>
      <c r="S8" s="102" t="s">
        <v>537</v>
      </c>
      <c r="T8" s="102"/>
      <c r="U8" s="259"/>
      <c r="V8" s="46" t="s">
        <v>504</v>
      </c>
      <c r="W8" s="88" t="s">
        <v>537</v>
      </c>
      <c r="X8" s="88" t="s">
        <v>537</v>
      </c>
      <c r="Y8" s="88" t="s">
        <v>537</v>
      </c>
      <c r="Z8" s="88"/>
      <c r="AA8" s="88" t="s">
        <v>537</v>
      </c>
      <c r="AB8" s="88"/>
      <c r="AC8" s="88" t="s">
        <v>537</v>
      </c>
    </row>
    <row r="9" spans="1:29" ht="25.9" customHeight="1">
      <c r="A9" s="53">
        <v>6</v>
      </c>
      <c r="B9" s="46" t="s">
        <v>505</v>
      </c>
      <c r="C9" s="98" t="s">
        <v>537</v>
      </c>
      <c r="D9" s="98" t="s">
        <v>537</v>
      </c>
      <c r="E9" s="98" t="s">
        <v>537</v>
      </c>
      <c r="F9" s="98"/>
      <c r="G9" s="98" t="s">
        <v>537</v>
      </c>
      <c r="H9" s="99"/>
      <c r="I9" s="99"/>
      <c r="J9" s="101" t="s">
        <v>537</v>
      </c>
      <c r="K9" s="101"/>
      <c r="L9" s="101"/>
      <c r="M9" s="101"/>
      <c r="N9" s="101"/>
      <c r="O9" s="102" t="s">
        <v>537</v>
      </c>
      <c r="P9" s="102" t="s">
        <v>537</v>
      </c>
      <c r="Q9" s="102" t="s">
        <v>537</v>
      </c>
      <c r="R9" s="102" t="s">
        <v>537</v>
      </c>
      <c r="S9" s="102" t="s">
        <v>537</v>
      </c>
      <c r="T9" s="102"/>
      <c r="U9" s="259"/>
      <c r="V9" s="46" t="s">
        <v>505</v>
      </c>
      <c r="W9" s="88" t="s">
        <v>537</v>
      </c>
      <c r="X9" s="88" t="s">
        <v>537</v>
      </c>
      <c r="Y9" s="88" t="s">
        <v>537</v>
      </c>
      <c r="Z9" s="88"/>
      <c r="AA9" s="88" t="s">
        <v>537</v>
      </c>
      <c r="AB9" s="88" t="s">
        <v>537</v>
      </c>
      <c r="AC9" s="88"/>
    </row>
    <row r="10" spans="1:29" ht="25.9" customHeight="1">
      <c r="A10" s="53">
        <v>7</v>
      </c>
      <c r="B10" s="46" t="s">
        <v>506</v>
      </c>
      <c r="C10" s="100"/>
      <c r="D10" s="100" t="s">
        <v>537</v>
      </c>
      <c r="E10" s="48" t="s">
        <v>537</v>
      </c>
      <c r="F10" s="48"/>
      <c r="G10" s="48"/>
      <c r="H10" s="48"/>
      <c r="I10" s="48"/>
      <c r="J10" s="48" t="s">
        <v>537</v>
      </c>
      <c r="K10" s="48"/>
      <c r="L10" s="48"/>
      <c r="M10" s="48"/>
      <c r="N10" s="48"/>
      <c r="O10" s="102" t="s">
        <v>537</v>
      </c>
      <c r="P10" s="102" t="s">
        <v>537</v>
      </c>
      <c r="Q10" s="102" t="s">
        <v>537</v>
      </c>
      <c r="R10" s="102" t="s">
        <v>537</v>
      </c>
      <c r="S10" s="102" t="s">
        <v>537</v>
      </c>
      <c r="T10" s="102" t="s">
        <v>537</v>
      </c>
      <c r="U10" s="259"/>
      <c r="V10" s="46" t="s">
        <v>506</v>
      </c>
      <c r="W10" s="88" t="s">
        <v>537</v>
      </c>
      <c r="X10" s="88" t="s">
        <v>537</v>
      </c>
      <c r="Y10" s="88"/>
      <c r="Z10" s="88"/>
      <c r="AA10" s="88" t="s">
        <v>537</v>
      </c>
      <c r="AB10" s="88"/>
      <c r="AC10" s="50"/>
    </row>
    <row r="11" spans="1:29" ht="25.9" customHeight="1">
      <c r="A11" s="53">
        <v>8</v>
      </c>
      <c r="B11" s="46" t="s">
        <v>539</v>
      </c>
      <c r="C11" s="100" t="s">
        <v>537</v>
      </c>
      <c r="D11" s="100" t="s">
        <v>537</v>
      </c>
      <c r="E11" s="48" t="s">
        <v>537</v>
      </c>
      <c r="F11" s="48"/>
      <c r="G11" s="48"/>
      <c r="H11" s="48"/>
      <c r="I11" s="48"/>
      <c r="J11" s="48" t="s">
        <v>537</v>
      </c>
      <c r="K11" s="48"/>
      <c r="L11" s="48"/>
      <c r="M11" s="48"/>
      <c r="N11" s="48"/>
      <c r="O11" s="102" t="s">
        <v>537</v>
      </c>
      <c r="P11" s="102" t="s">
        <v>537</v>
      </c>
      <c r="Q11" s="102" t="s">
        <v>537</v>
      </c>
      <c r="R11" s="102" t="s">
        <v>537</v>
      </c>
      <c r="S11" s="102" t="s">
        <v>537</v>
      </c>
      <c r="T11" s="102"/>
      <c r="U11" s="259"/>
      <c r="V11" s="42"/>
      <c r="W11" s="42"/>
      <c r="X11" s="42"/>
      <c r="Y11" s="42"/>
      <c r="Z11" s="42"/>
      <c r="AA11" s="42"/>
      <c r="AB11" s="42"/>
    </row>
    <row r="12" spans="1:29" ht="25.9" customHeight="1">
      <c r="A12" s="53">
        <v>9</v>
      </c>
      <c r="B12" s="46" t="s">
        <v>540</v>
      </c>
      <c r="C12" s="100"/>
      <c r="D12" s="100" t="s">
        <v>537</v>
      </c>
      <c r="E12" s="48" t="s">
        <v>537</v>
      </c>
      <c r="F12" s="48" t="s">
        <v>537</v>
      </c>
      <c r="G12" s="48"/>
      <c r="H12" s="48" t="s">
        <v>537</v>
      </c>
      <c r="I12" s="48"/>
      <c r="J12" s="48"/>
      <c r="K12" s="48"/>
      <c r="L12" s="48"/>
      <c r="M12" s="48"/>
      <c r="N12" s="48"/>
      <c r="O12" s="102" t="s">
        <v>537</v>
      </c>
      <c r="P12" s="102" t="s">
        <v>537</v>
      </c>
      <c r="Q12" s="102" t="s">
        <v>537</v>
      </c>
      <c r="R12" s="102" t="s">
        <v>537</v>
      </c>
      <c r="S12" s="102" t="s">
        <v>537</v>
      </c>
      <c r="T12" s="102"/>
      <c r="U12" s="259"/>
      <c r="V12" s="42"/>
      <c r="W12" s="42"/>
      <c r="X12" s="42"/>
      <c r="Y12" s="42"/>
      <c r="Z12" s="42"/>
      <c r="AA12" s="42"/>
      <c r="AB12" s="42"/>
    </row>
    <row r="13" spans="1:29" ht="25.9" customHeight="1">
      <c r="A13" s="53">
        <v>10</v>
      </c>
      <c r="B13" s="46" t="s">
        <v>541</v>
      </c>
      <c r="C13" s="100" t="s">
        <v>537</v>
      </c>
      <c r="D13" s="100" t="s">
        <v>537</v>
      </c>
      <c r="E13" s="48" t="s">
        <v>537</v>
      </c>
      <c r="F13" s="48" t="s">
        <v>537</v>
      </c>
      <c r="G13" s="48"/>
      <c r="H13" s="48" t="s">
        <v>537</v>
      </c>
      <c r="I13" s="48"/>
      <c r="J13" s="48"/>
      <c r="K13" s="48"/>
      <c r="L13" s="48"/>
      <c r="M13" s="48"/>
      <c r="N13" s="48"/>
      <c r="O13" s="102" t="s">
        <v>537</v>
      </c>
      <c r="P13" s="102" t="s">
        <v>537</v>
      </c>
      <c r="Q13" s="102" t="s">
        <v>537</v>
      </c>
      <c r="R13" s="102" t="s">
        <v>537</v>
      </c>
      <c r="S13" s="102" t="s">
        <v>537</v>
      </c>
      <c r="T13" s="102"/>
      <c r="U13" s="259"/>
      <c r="V13" s="42"/>
      <c r="W13" s="42"/>
      <c r="X13" s="42"/>
      <c r="Y13" s="42"/>
      <c r="Z13" s="42"/>
      <c r="AA13" s="42"/>
      <c r="AB13" s="42"/>
    </row>
    <row r="14" spans="1:29" ht="25.9" customHeight="1">
      <c r="A14" s="53">
        <v>11</v>
      </c>
      <c r="B14" s="46" t="s">
        <v>542</v>
      </c>
      <c r="C14" s="100"/>
      <c r="D14" s="100" t="s">
        <v>537</v>
      </c>
      <c r="E14" s="48" t="s">
        <v>537</v>
      </c>
      <c r="F14" s="48"/>
      <c r="G14" s="48"/>
      <c r="H14" s="48"/>
      <c r="I14" s="48" t="s">
        <v>537</v>
      </c>
      <c r="J14" s="48" t="s">
        <v>537</v>
      </c>
      <c r="K14" s="48"/>
      <c r="L14" s="48"/>
      <c r="M14" s="48"/>
      <c r="N14" s="48"/>
      <c r="O14" s="102" t="s">
        <v>537</v>
      </c>
      <c r="P14" s="102" t="s">
        <v>537</v>
      </c>
      <c r="Q14" s="102" t="s">
        <v>537</v>
      </c>
      <c r="R14" s="102" t="s">
        <v>537</v>
      </c>
      <c r="S14" s="102" t="s">
        <v>537</v>
      </c>
      <c r="T14" s="102" t="s">
        <v>537</v>
      </c>
      <c r="U14" s="259"/>
    </row>
    <row r="15" spans="1:29" ht="25.9" customHeight="1">
      <c r="A15" s="53">
        <v>12</v>
      </c>
      <c r="B15" s="46" t="s">
        <v>543</v>
      </c>
      <c r="C15" s="100"/>
      <c r="D15" s="100" t="s">
        <v>537</v>
      </c>
      <c r="E15" s="48" t="s">
        <v>537</v>
      </c>
      <c r="F15" s="48"/>
      <c r="G15" s="48"/>
      <c r="H15" s="48" t="s">
        <v>537</v>
      </c>
      <c r="I15" s="48"/>
      <c r="J15" s="48" t="s">
        <v>537</v>
      </c>
      <c r="K15" s="48" t="s">
        <v>537</v>
      </c>
      <c r="L15" s="48"/>
      <c r="M15" s="48" t="s">
        <v>537</v>
      </c>
      <c r="N15" s="48" t="s">
        <v>537</v>
      </c>
      <c r="O15" s="102" t="s">
        <v>537</v>
      </c>
      <c r="P15" s="102" t="s">
        <v>537</v>
      </c>
      <c r="Q15" s="102" t="s">
        <v>537</v>
      </c>
      <c r="R15" s="102" t="s">
        <v>537</v>
      </c>
      <c r="S15" s="102" t="s">
        <v>537</v>
      </c>
      <c r="T15" s="102"/>
      <c r="U15" s="259"/>
    </row>
    <row r="16" spans="1:29" ht="25.9" customHeight="1">
      <c r="A16" s="53">
        <v>13</v>
      </c>
      <c r="B16" s="46" t="s">
        <v>544</v>
      </c>
      <c r="C16" s="100" t="s">
        <v>537</v>
      </c>
      <c r="D16" s="100" t="s">
        <v>537</v>
      </c>
      <c r="E16" s="48" t="s">
        <v>537</v>
      </c>
      <c r="F16" s="48" t="s">
        <v>537</v>
      </c>
      <c r="G16" s="48"/>
      <c r="H16" s="48" t="s">
        <v>537</v>
      </c>
      <c r="I16" s="48"/>
      <c r="J16" s="48"/>
      <c r="K16" s="48" t="s">
        <v>537</v>
      </c>
      <c r="L16" s="48"/>
      <c r="M16" s="48" t="s">
        <v>537</v>
      </c>
      <c r="N16" s="48" t="s">
        <v>537</v>
      </c>
      <c r="O16" s="102" t="s">
        <v>537</v>
      </c>
      <c r="P16" s="102" t="s">
        <v>537</v>
      </c>
      <c r="Q16" s="102" t="s">
        <v>537</v>
      </c>
      <c r="R16" s="102" t="s">
        <v>537</v>
      </c>
      <c r="S16" s="102" t="s">
        <v>537</v>
      </c>
      <c r="T16" s="102"/>
      <c r="U16" s="259"/>
    </row>
    <row r="17" spans="1:21" ht="25.9" customHeight="1">
      <c r="A17" s="53">
        <v>14</v>
      </c>
      <c r="B17" s="46" t="s">
        <v>545</v>
      </c>
      <c r="C17" s="100"/>
      <c r="D17" s="100" t="s">
        <v>537</v>
      </c>
      <c r="E17" s="48" t="s">
        <v>537</v>
      </c>
      <c r="F17" s="48"/>
      <c r="G17" s="48"/>
      <c r="H17" s="48"/>
      <c r="I17" s="48"/>
      <c r="J17" s="48"/>
      <c r="K17" s="48"/>
      <c r="L17" s="48" t="s">
        <v>537</v>
      </c>
      <c r="M17" s="48" t="s">
        <v>537</v>
      </c>
      <c r="N17" s="48" t="s">
        <v>537</v>
      </c>
      <c r="O17" s="102" t="s">
        <v>537</v>
      </c>
      <c r="P17" s="102" t="s">
        <v>537</v>
      </c>
      <c r="Q17" s="102" t="s">
        <v>537</v>
      </c>
      <c r="R17" s="102" t="s">
        <v>537</v>
      </c>
      <c r="S17" s="102" t="s">
        <v>537</v>
      </c>
      <c r="T17" s="102"/>
      <c r="U17" s="259"/>
    </row>
  </sheetData>
  <mergeCells count="3">
    <mergeCell ref="A1:O1"/>
    <mergeCell ref="A2:U2"/>
    <mergeCell ref="U4:U17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E20"/>
  <sheetViews>
    <sheetView zoomScale="85" zoomScaleNormal="85" workbookViewId="0">
      <selection activeCell="S26" sqref="S26"/>
    </sheetView>
  </sheetViews>
  <sheetFormatPr defaultColWidth="8.85546875" defaultRowHeight="16.5"/>
  <cols>
    <col min="1" max="1" width="6.42578125" style="90" customWidth="1"/>
    <col min="2" max="2" width="19.28515625" style="91" customWidth="1"/>
    <col min="3" max="3" width="68.7109375" style="92" customWidth="1"/>
    <col min="4" max="4" width="38.28515625" style="92" customWidth="1"/>
    <col min="5" max="5" width="25.28515625" style="93" customWidth="1"/>
    <col min="6" max="6" width="14.85546875" style="92" customWidth="1"/>
    <col min="7" max="16384" width="8.85546875" style="92"/>
  </cols>
  <sheetData>
    <row r="1" spans="1:5" ht="64.150000000000006" customHeight="1">
      <c r="A1" s="260" t="s">
        <v>546</v>
      </c>
      <c r="B1" s="261"/>
      <c r="C1" s="261"/>
      <c r="D1" s="261"/>
      <c r="E1" s="261"/>
    </row>
    <row r="2" spans="1:5" s="89" customFormat="1" ht="38.450000000000003" customHeight="1">
      <c r="A2" s="94" t="s">
        <v>0</v>
      </c>
      <c r="B2" s="94" t="s">
        <v>368</v>
      </c>
      <c r="C2" s="94" t="s">
        <v>547</v>
      </c>
      <c r="D2" s="94" t="s">
        <v>548</v>
      </c>
      <c r="E2" s="95" t="s">
        <v>549</v>
      </c>
    </row>
    <row r="3" spans="1:5">
      <c r="A3" s="96">
        <v>1</v>
      </c>
      <c r="B3" s="62" t="s">
        <v>550</v>
      </c>
      <c r="C3" s="61" t="s">
        <v>551</v>
      </c>
      <c r="D3" s="61" t="s">
        <v>552</v>
      </c>
      <c r="E3" s="97" t="s">
        <v>553</v>
      </c>
    </row>
    <row r="4" spans="1:5">
      <c r="A4" s="96">
        <v>2</v>
      </c>
      <c r="B4" s="62" t="s">
        <v>554</v>
      </c>
      <c r="C4" s="61" t="s">
        <v>555</v>
      </c>
      <c r="D4" s="61" t="s">
        <v>556</v>
      </c>
      <c r="E4" s="97" t="s">
        <v>553</v>
      </c>
    </row>
    <row r="5" spans="1:5">
      <c r="A5" s="96">
        <v>3</v>
      </c>
      <c r="B5" s="62" t="s">
        <v>557</v>
      </c>
      <c r="C5" s="61" t="s">
        <v>558</v>
      </c>
      <c r="D5" s="61" t="s">
        <v>559</v>
      </c>
      <c r="E5" s="97" t="s">
        <v>553</v>
      </c>
    </row>
    <row r="6" spans="1:5">
      <c r="A6" s="96">
        <v>4</v>
      </c>
      <c r="B6" s="62" t="s">
        <v>560</v>
      </c>
      <c r="C6" s="61" t="s">
        <v>561</v>
      </c>
      <c r="D6" s="61" t="s">
        <v>562</v>
      </c>
      <c r="E6" s="97" t="s">
        <v>553</v>
      </c>
    </row>
    <row r="7" spans="1:5">
      <c r="A7" s="96">
        <v>5</v>
      </c>
      <c r="B7" s="62" t="s">
        <v>379</v>
      </c>
      <c r="C7" s="61" t="s">
        <v>563</v>
      </c>
      <c r="D7" s="61"/>
      <c r="E7" s="97" t="s">
        <v>553</v>
      </c>
    </row>
    <row r="8" spans="1:5">
      <c r="A8" s="96">
        <v>6</v>
      </c>
      <c r="B8" s="62" t="s">
        <v>564</v>
      </c>
      <c r="C8" s="61" t="s">
        <v>565</v>
      </c>
      <c r="D8" s="61" t="s">
        <v>566</v>
      </c>
      <c r="E8" s="97" t="s">
        <v>553</v>
      </c>
    </row>
    <row r="9" spans="1:5">
      <c r="A9" s="96">
        <v>7</v>
      </c>
      <c r="B9" s="62" t="s">
        <v>374</v>
      </c>
      <c r="C9" s="61" t="s">
        <v>567</v>
      </c>
      <c r="D9" s="61"/>
      <c r="E9" s="97" t="s">
        <v>553</v>
      </c>
    </row>
    <row r="10" spans="1:5">
      <c r="A10" s="96">
        <v>8</v>
      </c>
      <c r="B10" s="62" t="s">
        <v>568</v>
      </c>
      <c r="C10" s="61" t="s">
        <v>569</v>
      </c>
      <c r="D10" s="61" t="s">
        <v>570</v>
      </c>
      <c r="E10" s="97" t="s">
        <v>553</v>
      </c>
    </row>
    <row r="11" spans="1:5">
      <c r="A11" s="96">
        <v>9</v>
      </c>
      <c r="B11" s="62" t="s">
        <v>571</v>
      </c>
      <c r="C11" s="61" t="s">
        <v>572</v>
      </c>
      <c r="D11" s="61" t="s">
        <v>573</v>
      </c>
      <c r="E11" s="97" t="s">
        <v>553</v>
      </c>
    </row>
    <row r="12" spans="1:5">
      <c r="A12" s="96">
        <v>10</v>
      </c>
      <c r="B12" s="62" t="s">
        <v>369</v>
      </c>
      <c r="C12" s="61" t="s">
        <v>574</v>
      </c>
      <c r="D12" s="61" t="s">
        <v>575</v>
      </c>
      <c r="E12" s="97" t="s">
        <v>553</v>
      </c>
    </row>
    <row r="13" spans="1:5">
      <c r="A13" s="96">
        <v>11</v>
      </c>
      <c r="B13" s="62" t="s">
        <v>370</v>
      </c>
      <c r="C13" s="61" t="s">
        <v>576</v>
      </c>
      <c r="D13" s="61" t="s">
        <v>577</v>
      </c>
      <c r="E13" s="97" t="s">
        <v>553</v>
      </c>
    </row>
    <row r="14" spans="1:5">
      <c r="A14" s="96">
        <v>12</v>
      </c>
      <c r="B14" s="62" t="s">
        <v>371</v>
      </c>
      <c r="C14" s="61" t="s">
        <v>578</v>
      </c>
      <c r="D14" s="61" t="s">
        <v>577</v>
      </c>
      <c r="E14" s="97" t="s">
        <v>553</v>
      </c>
    </row>
    <row r="15" spans="1:5">
      <c r="A15" s="96">
        <v>13</v>
      </c>
      <c r="B15" s="62" t="s">
        <v>372</v>
      </c>
      <c r="C15" s="61" t="s">
        <v>579</v>
      </c>
      <c r="D15" s="61" t="s">
        <v>577</v>
      </c>
      <c r="E15" s="97" t="s">
        <v>553</v>
      </c>
    </row>
    <row r="16" spans="1:5">
      <c r="A16" s="96">
        <v>14</v>
      </c>
      <c r="B16" s="62" t="s">
        <v>373</v>
      </c>
      <c r="C16" s="61" t="s">
        <v>580</v>
      </c>
      <c r="D16" s="61" t="s">
        <v>577</v>
      </c>
      <c r="E16" s="97" t="s">
        <v>553</v>
      </c>
    </row>
    <row r="17" spans="1:5">
      <c r="A17" s="96">
        <v>15</v>
      </c>
      <c r="B17" s="62" t="s">
        <v>377</v>
      </c>
      <c r="C17" s="61" t="s">
        <v>581</v>
      </c>
      <c r="D17" s="61" t="s">
        <v>582</v>
      </c>
      <c r="E17" s="97" t="s">
        <v>553</v>
      </c>
    </row>
    <row r="18" spans="1:5">
      <c r="A18" s="96">
        <v>16</v>
      </c>
      <c r="B18" s="62" t="s">
        <v>378</v>
      </c>
      <c r="C18" s="61" t="s">
        <v>583</v>
      </c>
      <c r="D18" s="61" t="s">
        <v>584</v>
      </c>
      <c r="E18" s="97" t="s">
        <v>553</v>
      </c>
    </row>
    <row r="19" spans="1:5">
      <c r="A19" s="96">
        <v>17</v>
      </c>
      <c r="B19" s="62" t="s">
        <v>375</v>
      </c>
      <c r="C19" s="61" t="s">
        <v>585</v>
      </c>
      <c r="D19" s="61" t="s">
        <v>586</v>
      </c>
      <c r="E19" s="97" t="s">
        <v>553</v>
      </c>
    </row>
    <row r="20" spans="1:5">
      <c r="A20" s="96">
        <v>18</v>
      </c>
      <c r="B20" s="62" t="s">
        <v>376</v>
      </c>
      <c r="C20" s="61" t="s">
        <v>585</v>
      </c>
      <c r="D20" s="61" t="s">
        <v>586</v>
      </c>
      <c r="E20" s="97" t="s">
        <v>553</v>
      </c>
    </row>
  </sheetData>
  <autoFilter ref="A2:E20" xr:uid="{00000000-0009-0000-0000-000005000000}"/>
  <mergeCells count="1">
    <mergeCell ref="A1:E1"/>
  </mergeCells>
  <pageMargins left="0.7" right="0.7" top="0.75" bottom="0.75" header="0.3" footer="0.3"/>
  <pageSetup paperSize="9" scale="43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1"/>
  <sheetViews>
    <sheetView zoomScale="80" zoomScaleNormal="80" workbookViewId="0">
      <pane ySplit="3" topLeftCell="A4" activePane="bottomLeft" state="frozen"/>
      <selection pane="bottomLeft" activeCell="K17" sqref="K17"/>
    </sheetView>
  </sheetViews>
  <sheetFormatPr defaultColWidth="8.85546875" defaultRowHeight="15"/>
  <cols>
    <col min="1" max="1" width="6.7109375" style="54" customWidth="1"/>
    <col min="2" max="2" width="64.7109375" style="54" customWidth="1"/>
    <col min="3" max="3" width="16.28515625" style="56" customWidth="1"/>
    <col min="4" max="7" width="9.7109375" style="43" customWidth="1"/>
    <col min="8" max="8" width="9.7109375" style="57" customWidth="1"/>
    <col min="9" max="16" width="9.7109375" style="43" customWidth="1"/>
    <col min="17" max="16384" width="8.85546875" style="43"/>
  </cols>
  <sheetData>
    <row r="1" spans="1:16" ht="46.9" customHeight="1">
      <c r="A1" s="255" t="s">
        <v>621</v>
      </c>
      <c r="B1" s="255"/>
      <c r="C1" s="255"/>
      <c r="D1" s="255"/>
      <c r="E1" s="255"/>
      <c r="F1" s="255"/>
      <c r="G1" s="255"/>
      <c r="H1" s="262"/>
      <c r="I1" s="255"/>
      <c r="J1" s="255"/>
      <c r="K1" s="255"/>
      <c r="L1" s="255"/>
      <c r="M1" s="255"/>
      <c r="N1" s="255"/>
      <c r="O1" s="44"/>
      <c r="P1" s="44"/>
    </row>
    <row r="2" spans="1:16" s="54" customFormat="1" ht="17.45" customHeight="1">
      <c r="A2" s="265" t="s">
        <v>477</v>
      </c>
      <c r="B2" s="265" t="s">
        <v>622</v>
      </c>
      <c r="C2" s="265" t="s">
        <v>623</v>
      </c>
      <c r="D2" s="263" t="s">
        <v>624</v>
      </c>
      <c r="E2" s="263"/>
      <c r="F2" s="263"/>
      <c r="G2" s="263"/>
      <c r="H2" s="264"/>
      <c r="I2" s="263"/>
      <c r="J2" s="263"/>
      <c r="K2" s="263"/>
      <c r="L2" s="263"/>
      <c r="M2" s="263"/>
      <c r="N2" s="263"/>
      <c r="O2" s="74"/>
      <c r="P2" s="74"/>
    </row>
    <row r="3" spans="1:16" s="55" customFormat="1" ht="60" customHeight="1">
      <c r="A3" s="265"/>
      <c r="B3" s="265"/>
      <c r="C3" s="265"/>
      <c r="D3" s="52" t="s">
        <v>512</v>
      </c>
      <c r="E3" s="52" t="s">
        <v>513</v>
      </c>
      <c r="F3" s="59" t="s">
        <v>514</v>
      </c>
      <c r="G3" s="59" t="s">
        <v>515</v>
      </c>
      <c r="H3" s="60" t="s">
        <v>516</v>
      </c>
      <c r="I3" s="59" t="s">
        <v>517</v>
      </c>
      <c r="J3" s="59" t="s">
        <v>518</v>
      </c>
      <c r="K3" s="59" t="s">
        <v>519</v>
      </c>
      <c r="L3" s="59" t="s">
        <v>520</v>
      </c>
      <c r="M3" s="59" t="s">
        <v>521</v>
      </c>
      <c r="N3" s="59" t="s">
        <v>522</v>
      </c>
      <c r="O3" s="59" t="s">
        <v>523</v>
      </c>
      <c r="P3" s="59" t="s">
        <v>625</v>
      </c>
    </row>
    <row r="4" spans="1:16" s="55" customFormat="1" ht="23.45" customHeight="1">
      <c r="A4" s="58">
        <v>1</v>
      </c>
      <c r="B4" s="61" t="s">
        <v>567</v>
      </c>
      <c r="C4" s="62" t="s">
        <v>374</v>
      </c>
      <c r="D4" s="63"/>
      <c r="E4" s="63" t="s">
        <v>537</v>
      </c>
      <c r="F4" s="63"/>
      <c r="G4" s="63" t="s">
        <v>537</v>
      </c>
      <c r="H4" s="64"/>
      <c r="I4" s="63"/>
      <c r="J4" s="63"/>
      <c r="K4" s="63"/>
      <c r="L4" s="63"/>
      <c r="M4" s="63"/>
      <c r="N4" s="63"/>
      <c r="O4" s="63"/>
      <c r="P4" s="63"/>
    </row>
    <row r="5" spans="1:16" s="55" customFormat="1" ht="23.45" customHeight="1">
      <c r="A5" s="58">
        <v>2</v>
      </c>
      <c r="B5" s="61" t="s">
        <v>585</v>
      </c>
      <c r="C5" s="62" t="s">
        <v>375</v>
      </c>
      <c r="D5" s="63"/>
      <c r="E5" s="63" t="s">
        <v>537</v>
      </c>
      <c r="F5" s="63"/>
      <c r="G5" s="63" t="s">
        <v>537</v>
      </c>
      <c r="H5" s="64" t="s">
        <v>537</v>
      </c>
      <c r="I5" s="63"/>
      <c r="J5" s="63"/>
      <c r="K5" s="63"/>
      <c r="L5" s="63"/>
      <c r="M5" s="63"/>
      <c r="N5" s="63"/>
      <c r="O5" s="63"/>
      <c r="P5" s="63"/>
    </row>
    <row r="6" spans="1:16" s="55" customFormat="1" ht="23.45" customHeight="1">
      <c r="A6" s="58">
        <v>3</v>
      </c>
      <c r="B6" s="61" t="s">
        <v>585</v>
      </c>
      <c r="C6" s="62" t="s">
        <v>376</v>
      </c>
      <c r="D6" s="63"/>
      <c r="E6" s="63" t="s">
        <v>537</v>
      </c>
      <c r="F6" s="63"/>
      <c r="G6" s="63" t="s">
        <v>537</v>
      </c>
      <c r="H6" s="64" t="s">
        <v>537</v>
      </c>
      <c r="I6" s="63"/>
      <c r="J6" s="63"/>
      <c r="K6" s="63"/>
      <c r="L6" s="63"/>
      <c r="M6" s="63"/>
      <c r="N6" s="63"/>
      <c r="O6" s="63"/>
      <c r="P6" s="63"/>
    </row>
    <row r="7" spans="1:16" s="55" customFormat="1" ht="23.45" customHeight="1">
      <c r="A7" s="58">
        <v>4</v>
      </c>
      <c r="B7" s="61" t="s">
        <v>574</v>
      </c>
      <c r="C7" s="62" t="s">
        <v>369</v>
      </c>
      <c r="D7" s="63"/>
      <c r="E7" s="63" t="s">
        <v>537</v>
      </c>
      <c r="F7" s="63" t="s">
        <v>537</v>
      </c>
      <c r="G7" s="63"/>
      <c r="H7" s="64"/>
      <c r="I7" s="63"/>
      <c r="J7" s="63"/>
      <c r="K7" s="63"/>
      <c r="L7" s="63"/>
      <c r="M7" s="63"/>
      <c r="N7" s="63"/>
      <c r="O7" s="63"/>
      <c r="P7" s="63"/>
    </row>
    <row r="8" spans="1:16" s="55" customFormat="1" ht="23.45" customHeight="1">
      <c r="A8" s="58">
        <v>5</v>
      </c>
      <c r="B8" s="61" t="s">
        <v>576</v>
      </c>
      <c r="C8" s="62" t="s">
        <v>370</v>
      </c>
      <c r="D8" s="63"/>
      <c r="E8" s="63" t="s">
        <v>537</v>
      </c>
      <c r="F8" s="63" t="s">
        <v>537</v>
      </c>
      <c r="G8" s="63"/>
      <c r="H8" s="64"/>
      <c r="I8" s="63"/>
      <c r="J8" s="63"/>
      <c r="K8" s="63"/>
      <c r="L8" s="63"/>
      <c r="M8" s="63"/>
      <c r="N8" s="63"/>
      <c r="O8" s="63"/>
      <c r="P8" s="63"/>
    </row>
    <row r="9" spans="1:16" s="55" customFormat="1" ht="23.45" customHeight="1">
      <c r="A9" s="58">
        <v>6</v>
      </c>
      <c r="B9" s="61" t="s">
        <v>578</v>
      </c>
      <c r="C9" s="62" t="s">
        <v>371</v>
      </c>
      <c r="D9" s="63"/>
      <c r="E9" s="63" t="s">
        <v>537</v>
      </c>
      <c r="F9" s="63" t="s">
        <v>537</v>
      </c>
      <c r="G9" s="63"/>
      <c r="H9" s="64"/>
      <c r="I9" s="63"/>
      <c r="J9" s="63"/>
      <c r="K9" s="63"/>
      <c r="L9" s="63"/>
      <c r="M9" s="63"/>
      <c r="N9" s="63"/>
      <c r="O9" s="63"/>
      <c r="P9" s="63"/>
    </row>
    <row r="10" spans="1:16" s="55" customFormat="1" ht="23.45" customHeight="1">
      <c r="A10" s="58">
        <v>7</v>
      </c>
      <c r="B10" s="61" t="s">
        <v>579</v>
      </c>
      <c r="C10" s="62" t="s">
        <v>372</v>
      </c>
      <c r="D10" s="63"/>
      <c r="E10" s="63" t="s">
        <v>537</v>
      </c>
      <c r="F10" s="63" t="s">
        <v>537</v>
      </c>
      <c r="G10" s="63"/>
      <c r="H10" s="64"/>
      <c r="I10" s="63"/>
      <c r="J10" s="63"/>
      <c r="K10" s="63"/>
      <c r="L10" s="63"/>
      <c r="M10" s="63"/>
      <c r="N10" s="63"/>
      <c r="O10" s="63"/>
      <c r="P10" s="63"/>
    </row>
    <row r="11" spans="1:16" s="55" customFormat="1" ht="23.45" customHeight="1">
      <c r="A11" s="58">
        <v>8</v>
      </c>
      <c r="B11" s="61" t="s">
        <v>580</v>
      </c>
      <c r="C11" s="62" t="s">
        <v>373</v>
      </c>
      <c r="D11" s="63"/>
      <c r="E11" s="63" t="s">
        <v>537</v>
      </c>
      <c r="F11" s="63" t="s">
        <v>537</v>
      </c>
      <c r="G11" s="63"/>
      <c r="H11" s="64"/>
      <c r="I11" s="63"/>
      <c r="J11" s="63"/>
      <c r="K11" s="63"/>
      <c r="L11" s="63"/>
      <c r="M11" s="63"/>
      <c r="N11" s="63"/>
      <c r="O11" s="63"/>
      <c r="P11" s="63"/>
    </row>
    <row r="12" spans="1:16" s="55" customFormat="1" ht="23.45" customHeight="1">
      <c r="A12" s="58">
        <v>9</v>
      </c>
      <c r="B12" s="61" t="s">
        <v>581</v>
      </c>
      <c r="C12" s="62" t="s">
        <v>377</v>
      </c>
      <c r="D12" s="63"/>
      <c r="E12" s="63"/>
      <c r="F12" s="63"/>
      <c r="G12" s="63" t="s">
        <v>537</v>
      </c>
      <c r="H12" s="64" t="s">
        <v>537</v>
      </c>
      <c r="I12" s="63"/>
      <c r="J12" s="63" t="s">
        <v>537</v>
      </c>
      <c r="K12" s="63" t="s">
        <v>537</v>
      </c>
      <c r="L12" s="63"/>
      <c r="M12" s="63"/>
      <c r="N12" s="63"/>
      <c r="O12" s="63"/>
      <c r="P12" s="63"/>
    </row>
    <row r="13" spans="1:16" s="55" customFormat="1" ht="23.45" customHeight="1">
      <c r="A13" s="58">
        <v>10</v>
      </c>
      <c r="B13" s="61" t="s">
        <v>583</v>
      </c>
      <c r="C13" s="62" t="s">
        <v>378</v>
      </c>
      <c r="D13" s="63"/>
      <c r="E13" s="63"/>
      <c r="F13" s="63"/>
      <c r="G13" s="63" t="s">
        <v>537</v>
      </c>
      <c r="H13" s="64" t="s">
        <v>537</v>
      </c>
      <c r="I13" s="63"/>
      <c r="J13" s="63" t="s">
        <v>537</v>
      </c>
      <c r="K13" s="63" t="s">
        <v>537</v>
      </c>
      <c r="L13" s="63"/>
      <c r="M13" s="63"/>
      <c r="N13" s="63"/>
      <c r="O13" s="63"/>
      <c r="P13" s="63"/>
    </row>
    <row r="14" spans="1:16" s="55" customFormat="1" ht="23.45" customHeight="1">
      <c r="A14" s="58">
        <v>11</v>
      </c>
      <c r="B14" s="65" t="s">
        <v>563</v>
      </c>
      <c r="C14" s="62" t="s">
        <v>379</v>
      </c>
      <c r="D14" s="63"/>
      <c r="E14" s="63"/>
      <c r="F14" s="63"/>
      <c r="G14" s="63" t="s">
        <v>537</v>
      </c>
      <c r="H14" s="64"/>
      <c r="I14" s="63"/>
      <c r="J14" s="63"/>
      <c r="K14" s="63"/>
      <c r="L14" s="63"/>
      <c r="M14" s="63"/>
      <c r="N14" s="63"/>
      <c r="O14" s="63"/>
      <c r="P14" s="63"/>
    </row>
    <row r="15" spans="1:16" s="55" customFormat="1" ht="23.45" customHeight="1">
      <c r="A15" s="58">
        <v>12</v>
      </c>
      <c r="B15" s="61" t="s">
        <v>572</v>
      </c>
      <c r="C15" s="62" t="s">
        <v>571</v>
      </c>
      <c r="D15" s="63"/>
      <c r="E15" s="63" t="s">
        <v>537</v>
      </c>
      <c r="F15" s="63" t="s">
        <v>537</v>
      </c>
      <c r="G15" s="63"/>
      <c r="H15" s="64"/>
      <c r="I15" s="63"/>
      <c r="J15" s="63"/>
      <c r="K15" s="63"/>
      <c r="L15" s="63"/>
      <c r="M15" s="63"/>
      <c r="N15" s="63"/>
      <c r="O15" s="63"/>
      <c r="P15" s="63"/>
    </row>
    <row r="16" spans="1:16" s="55" customFormat="1" ht="23.45" customHeight="1">
      <c r="A16" s="66">
        <v>13</v>
      </c>
      <c r="B16" s="67" t="s">
        <v>569</v>
      </c>
      <c r="C16" s="68" t="s">
        <v>568</v>
      </c>
      <c r="D16" s="69"/>
      <c r="E16" s="69" t="s">
        <v>537</v>
      </c>
      <c r="F16" s="69"/>
      <c r="G16" s="69"/>
      <c r="H16" s="70"/>
      <c r="I16" s="69"/>
      <c r="J16" s="69"/>
      <c r="K16" s="69"/>
      <c r="L16" s="69"/>
      <c r="M16" s="69"/>
      <c r="N16" s="69"/>
      <c r="O16" s="69"/>
      <c r="P16" s="69"/>
    </row>
    <row r="17" spans="1:16" s="55" customFormat="1" ht="23.45" customHeight="1">
      <c r="A17" s="66">
        <v>14</v>
      </c>
      <c r="B17" s="71" t="s">
        <v>558</v>
      </c>
      <c r="C17" s="68" t="s">
        <v>557</v>
      </c>
      <c r="D17" s="69"/>
      <c r="E17" s="69"/>
      <c r="F17" s="69"/>
      <c r="G17" s="69"/>
      <c r="H17" s="70"/>
      <c r="I17" s="69"/>
      <c r="J17" s="69"/>
      <c r="K17" s="69" t="s">
        <v>537</v>
      </c>
      <c r="L17" s="69"/>
      <c r="M17" s="69"/>
      <c r="N17" s="69"/>
      <c r="O17" s="69"/>
      <c r="P17" s="69"/>
    </row>
    <row r="18" spans="1:16" s="55" customFormat="1" ht="23.45" customHeight="1">
      <c r="A18" s="66">
        <v>15</v>
      </c>
      <c r="B18" s="71" t="s">
        <v>565</v>
      </c>
      <c r="C18" s="68" t="s">
        <v>564</v>
      </c>
      <c r="D18" s="69"/>
      <c r="E18" s="69"/>
      <c r="F18" s="69"/>
      <c r="G18" s="69"/>
      <c r="H18" s="70"/>
      <c r="I18" s="69"/>
      <c r="J18" s="69" t="s">
        <v>537</v>
      </c>
      <c r="K18" s="69"/>
      <c r="L18" s="69"/>
      <c r="M18" s="69"/>
      <c r="N18" s="69"/>
      <c r="O18" s="69"/>
      <c r="P18" s="69"/>
    </row>
    <row r="19" spans="1:16" s="54" customFormat="1" ht="23.45" customHeight="1">
      <c r="A19" s="66">
        <v>16</v>
      </c>
      <c r="B19" s="71" t="s">
        <v>551</v>
      </c>
      <c r="C19" s="68" t="s">
        <v>550</v>
      </c>
      <c r="D19" s="69"/>
      <c r="E19" s="72"/>
      <c r="F19" s="69"/>
      <c r="G19" s="69"/>
      <c r="H19" s="70"/>
      <c r="I19" s="72"/>
      <c r="J19" s="72"/>
      <c r="K19" s="72" t="s">
        <v>537</v>
      </c>
      <c r="L19" s="72"/>
      <c r="M19" s="72"/>
      <c r="N19" s="72"/>
      <c r="O19" s="72"/>
      <c r="P19" s="72"/>
    </row>
    <row r="20" spans="1:16" ht="23.45" customHeight="1">
      <c r="A20" s="66">
        <v>17</v>
      </c>
      <c r="B20" s="67" t="s">
        <v>555</v>
      </c>
      <c r="C20" s="68" t="s">
        <v>554</v>
      </c>
      <c r="D20" s="72"/>
      <c r="E20" s="69"/>
      <c r="F20" s="72"/>
      <c r="G20" s="72"/>
      <c r="H20" s="73"/>
      <c r="I20" s="72"/>
      <c r="J20" s="72"/>
      <c r="K20" s="72"/>
      <c r="L20" s="72"/>
      <c r="M20" s="72"/>
      <c r="N20" s="72"/>
      <c r="O20" s="72"/>
      <c r="P20" s="72"/>
    </row>
    <row r="21" spans="1:16" ht="23.45" customHeight="1">
      <c r="A21" s="66">
        <v>18</v>
      </c>
      <c r="B21" s="67" t="s">
        <v>561</v>
      </c>
      <c r="C21" s="68" t="s">
        <v>560</v>
      </c>
      <c r="D21" s="72"/>
      <c r="E21" s="72"/>
      <c r="F21" s="69"/>
      <c r="G21" s="72"/>
      <c r="H21" s="70"/>
      <c r="I21" s="72"/>
      <c r="J21" s="72"/>
      <c r="K21" s="72"/>
      <c r="L21" s="72"/>
      <c r="M21" s="72"/>
      <c r="N21" s="72"/>
      <c r="O21" s="72"/>
      <c r="P21" s="72"/>
    </row>
  </sheetData>
  <mergeCells count="5">
    <mergeCell ref="A1:N1"/>
    <mergeCell ref="D2:N2"/>
    <mergeCell ref="A2:A3"/>
    <mergeCell ref="B2:B3"/>
    <mergeCell ref="C2:C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8"/>
  <sheetViews>
    <sheetView topLeftCell="A2" zoomScaleNormal="100" workbookViewId="0">
      <selection activeCell="L21" sqref="L21"/>
    </sheetView>
  </sheetViews>
  <sheetFormatPr defaultColWidth="8.85546875" defaultRowHeight="15"/>
  <cols>
    <col min="1" max="1" width="6.5703125" style="42" customWidth="1"/>
    <col min="2" max="2" width="33.28515625" style="43" customWidth="1"/>
    <col min="3" max="3" width="28.140625" style="43" customWidth="1"/>
    <col min="4" max="4" width="24.140625" style="43" customWidth="1"/>
    <col min="5" max="5" width="18.7109375" style="43" customWidth="1"/>
    <col min="6" max="6" width="15.140625" style="43" customWidth="1"/>
    <col min="7" max="7" width="21.28515625" style="43" customWidth="1"/>
    <col min="8" max="8" width="13.140625" style="43" customWidth="1"/>
    <col min="9" max="16384" width="8.85546875" style="43"/>
  </cols>
  <sheetData>
    <row r="1" spans="1:8" ht="52.15" customHeight="1">
      <c r="A1" s="266" t="s">
        <v>587</v>
      </c>
      <c r="B1" s="266"/>
      <c r="C1" s="266"/>
      <c r="D1" s="266"/>
      <c r="E1" s="266"/>
      <c r="F1" s="266"/>
      <c r="G1" s="266"/>
    </row>
    <row r="2" spans="1:8" s="41" customFormat="1" ht="40.9" customHeight="1">
      <c r="A2" s="46" t="s">
        <v>477</v>
      </c>
      <c r="B2" s="46" t="s">
        <v>588</v>
      </c>
      <c r="C2" s="46" t="s">
        <v>589</v>
      </c>
      <c r="D2" s="46" t="s">
        <v>590</v>
      </c>
      <c r="E2" s="46" t="s">
        <v>591</v>
      </c>
      <c r="F2" s="58" t="s">
        <v>592</v>
      </c>
      <c r="G2" s="46" t="s">
        <v>429</v>
      </c>
      <c r="H2" s="51" t="s">
        <v>530</v>
      </c>
    </row>
    <row r="3" spans="1:8" ht="18.600000000000001" customHeight="1">
      <c r="A3" s="53">
        <v>1</v>
      </c>
      <c r="B3" s="75"/>
      <c r="C3" s="75" t="s">
        <v>593</v>
      </c>
      <c r="D3" s="75"/>
      <c r="E3" s="75" t="s">
        <v>594</v>
      </c>
      <c r="F3" s="75">
        <v>6240</v>
      </c>
      <c r="G3" s="75" t="s">
        <v>595</v>
      </c>
      <c r="H3" s="272" t="s">
        <v>596</v>
      </c>
    </row>
    <row r="4" spans="1:8" ht="18.600000000000001" customHeight="1">
      <c r="A4" s="53">
        <v>2</v>
      </c>
      <c r="B4" s="75"/>
      <c r="C4" s="75" t="s">
        <v>593</v>
      </c>
      <c r="D4" s="75"/>
      <c r="E4" s="75" t="s">
        <v>597</v>
      </c>
      <c r="F4" s="75">
        <v>6240</v>
      </c>
      <c r="G4" s="75" t="s">
        <v>595</v>
      </c>
      <c r="H4" s="273"/>
    </row>
    <row r="5" spans="1:8" ht="18.600000000000001" customHeight="1">
      <c r="A5" s="53">
        <v>3</v>
      </c>
      <c r="B5" s="75"/>
      <c r="C5" s="75"/>
      <c r="D5" s="75"/>
      <c r="E5" s="75" t="s">
        <v>598</v>
      </c>
      <c r="F5" s="75"/>
      <c r="G5" s="75"/>
      <c r="H5" s="273"/>
    </row>
    <row r="6" spans="1:8" ht="18.600000000000001" customHeight="1">
      <c r="A6" s="53">
        <v>4</v>
      </c>
      <c r="B6" s="75"/>
      <c r="C6" s="75"/>
      <c r="D6" s="75"/>
      <c r="E6" s="75" t="s">
        <v>599</v>
      </c>
      <c r="F6" s="75"/>
      <c r="G6" s="75"/>
      <c r="H6" s="273"/>
    </row>
    <row r="7" spans="1:8" ht="18.600000000000001" customHeight="1">
      <c r="A7" s="53">
        <v>5</v>
      </c>
      <c r="B7" s="75"/>
      <c r="C7" s="75" t="s">
        <v>600</v>
      </c>
      <c r="D7" s="75"/>
      <c r="E7" s="75" t="s">
        <v>601</v>
      </c>
      <c r="F7" s="75">
        <v>3360</v>
      </c>
      <c r="G7" s="75" t="s">
        <v>602</v>
      </c>
      <c r="H7" s="274"/>
    </row>
    <row r="12" spans="1:8" ht="55.5" customHeight="1">
      <c r="A12" s="76" t="s">
        <v>0</v>
      </c>
      <c r="B12" s="76" t="s">
        <v>547</v>
      </c>
      <c r="C12" s="76" t="s">
        <v>603</v>
      </c>
      <c r="D12" s="77" t="s">
        <v>604</v>
      </c>
      <c r="E12" s="77" t="s">
        <v>605</v>
      </c>
      <c r="F12" s="78" t="s">
        <v>592</v>
      </c>
      <c r="G12" s="79" t="s">
        <v>429</v>
      </c>
    </row>
    <row r="13" spans="1:8" ht="18.75" customHeight="1">
      <c r="A13" s="267">
        <v>1</v>
      </c>
      <c r="B13" s="270" t="s">
        <v>606</v>
      </c>
      <c r="C13" s="275" t="s">
        <v>374</v>
      </c>
      <c r="D13" s="80" t="s">
        <v>64</v>
      </c>
      <c r="E13" s="80" t="s">
        <v>607</v>
      </c>
      <c r="F13" s="80"/>
      <c r="G13" s="80"/>
    </row>
    <row r="14" spans="1:8" ht="18.75" customHeight="1">
      <c r="A14" s="268"/>
      <c r="B14" s="271"/>
      <c r="C14" s="276"/>
      <c r="D14" s="81" t="s">
        <v>22</v>
      </c>
      <c r="E14" s="81" t="s">
        <v>608</v>
      </c>
      <c r="F14" s="81"/>
      <c r="G14" s="81"/>
    </row>
    <row r="15" spans="1:8" ht="18.75" customHeight="1">
      <c r="A15" s="269"/>
      <c r="B15" s="233"/>
      <c r="C15" s="277"/>
      <c r="D15" s="82" t="s">
        <v>528</v>
      </c>
      <c r="E15" s="82" t="s">
        <v>609</v>
      </c>
      <c r="F15" s="82"/>
      <c r="G15" s="82"/>
    </row>
    <row r="16" spans="1:8" ht="18.75" customHeight="1">
      <c r="A16" s="83">
        <v>2</v>
      </c>
      <c r="B16" s="270" t="s">
        <v>610</v>
      </c>
      <c r="C16" s="270" t="s">
        <v>611</v>
      </c>
      <c r="D16" s="80" t="s">
        <v>64</v>
      </c>
      <c r="E16" s="80" t="s">
        <v>612</v>
      </c>
      <c r="F16" s="80"/>
      <c r="G16" s="80"/>
    </row>
    <row r="17" spans="1:7" ht="18.75" customHeight="1">
      <c r="A17" s="84"/>
      <c r="B17" s="271"/>
      <c r="C17" s="271"/>
      <c r="D17" s="81" t="s">
        <v>22</v>
      </c>
      <c r="E17" s="81" t="s">
        <v>612</v>
      </c>
      <c r="F17" s="81"/>
      <c r="G17" s="81"/>
    </row>
    <row r="18" spans="1:7" ht="18.75" customHeight="1">
      <c r="A18" s="85"/>
      <c r="B18" s="233"/>
      <c r="C18" s="233"/>
      <c r="D18" s="82" t="s">
        <v>528</v>
      </c>
      <c r="E18" s="82" t="s">
        <v>612</v>
      </c>
      <c r="F18" s="82"/>
      <c r="G18" s="82"/>
    </row>
    <row r="19" spans="1:7" ht="18.75" customHeight="1">
      <c r="A19" s="83">
        <v>3</v>
      </c>
      <c r="B19" s="270" t="s">
        <v>563</v>
      </c>
      <c r="C19" s="275" t="s">
        <v>374</v>
      </c>
      <c r="D19" s="80" t="s">
        <v>64</v>
      </c>
      <c r="E19" s="80" t="s">
        <v>613</v>
      </c>
      <c r="F19" s="80"/>
      <c r="G19" s="80"/>
    </row>
    <row r="20" spans="1:7" ht="18.75" customHeight="1">
      <c r="A20" s="84"/>
      <c r="B20" s="271"/>
      <c r="C20" s="276"/>
      <c r="D20" s="81" t="s">
        <v>22</v>
      </c>
      <c r="E20" s="81" t="s">
        <v>614</v>
      </c>
      <c r="F20" s="81"/>
      <c r="G20" s="81"/>
    </row>
    <row r="21" spans="1:7" ht="18.75" customHeight="1">
      <c r="A21" s="85"/>
      <c r="B21" s="233"/>
      <c r="C21" s="277"/>
      <c r="D21" s="82" t="s">
        <v>528</v>
      </c>
      <c r="E21" s="82" t="s">
        <v>614</v>
      </c>
      <c r="F21" s="82"/>
      <c r="G21" s="82"/>
    </row>
    <row r="22" spans="1:7" ht="18.75" customHeight="1">
      <c r="A22" s="83">
        <v>4</v>
      </c>
      <c r="B22" s="270" t="s">
        <v>615</v>
      </c>
      <c r="C22" s="275" t="s">
        <v>374</v>
      </c>
      <c r="D22" s="80" t="s">
        <v>64</v>
      </c>
      <c r="E22" s="80" t="s">
        <v>616</v>
      </c>
      <c r="F22" s="80"/>
      <c r="G22" s="80"/>
    </row>
    <row r="23" spans="1:7" ht="18.75" customHeight="1">
      <c r="A23" s="84"/>
      <c r="B23" s="271"/>
      <c r="C23" s="276"/>
      <c r="D23" s="81" t="s">
        <v>22</v>
      </c>
      <c r="E23" s="81" t="s">
        <v>616</v>
      </c>
      <c r="F23" s="81"/>
      <c r="G23" s="81"/>
    </row>
    <row r="24" spans="1:7" ht="18.75" customHeight="1">
      <c r="A24" s="85"/>
      <c r="B24" s="233"/>
      <c r="C24" s="277"/>
      <c r="D24" s="82" t="s">
        <v>528</v>
      </c>
      <c r="E24" s="82" t="s">
        <v>616</v>
      </c>
      <c r="F24" s="82"/>
      <c r="G24" s="82"/>
    </row>
    <row r="25" spans="1:7" ht="18.75" customHeight="1">
      <c r="A25" s="83">
        <v>5</v>
      </c>
      <c r="B25" s="270" t="s">
        <v>617</v>
      </c>
      <c r="C25" s="275" t="s">
        <v>374</v>
      </c>
      <c r="D25" s="80" t="s">
        <v>64</v>
      </c>
      <c r="E25" s="80" t="s">
        <v>618</v>
      </c>
      <c r="F25" s="80"/>
      <c r="G25" s="80"/>
    </row>
    <row r="26" spans="1:7" ht="18.75" customHeight="1">
      <c r="A26" s="84"/>
      <c r="B26" s="271"/>
      <c r="C26" s="276"/>
      <c r="D26" s="81" t="s">
        <v>22</v>
      </c>
      <c r="E26" s="81" t="s">
        <v>619</v>
      </c>
      <c r="F26" s="81"/>
      <c r="G26" s="81"/>
    </row>
    <row r="27" spans="1:7" ht="18.75" customHeight="1">
      <c r="A27" s="86"/>
      <c r="B27" s="271"/>
      <c r="C27" s="276"/>
      <c r="D27" s="87" t="s">
        <v>528</v>
      </c>
      <c r="E27" s="87" t="s">
        <v>618</v>
      </c>
      <c r="F27" s="87"/>
      <c r="G27" s="87"/>
    </row>
    <row r="28" spans="1:7" ht="23.25" customHeight="1">
      <c r="A28" s="88">
        <v>6</v>
      </c>
      <c r="B28" s="75" t="s">
        <v>601</v>
      </c>
      <c r="C28" s="50"/>
      <c r="D28" s="50" t="s">
        <v>620</v>
      </c>
      <c r="E28" s="50"/>
      <c r="F28" s="50"/>
      <c r="G28" s="50"/>
    </row>
  </sheetData>
  <mergeCells count="13">
    <mergeCell ref="H3:H7"/>
    <mergeCell ref="B22:B24"/>
    <mergeCell ref="B25:B27"/>
    <mergeCell ref="C13:C15"/>
    <mergeCell ref="C16:C18"/>
    <mergeCell ref="C19:C21"/>
    <mergeCell ref="C22:C24"/>
    <mergeCell ref="C25:C27"/>
    <mergeCell ref="A1:G1"/>
    <mergeCell ref="A13:A15"/>
    <mergeCell ref="B13:B15"/>
    <mergeCell ref="B16:B18"/>
    <mergeCell ref="B19:B21"/>
  </mergeCells>
  <printOptions horizontalCentered="1"/>
  <pageMargins left="0" right="0" top="0" bottom="0" header="0" footer="0"/>
  <pageSetup paperSize="9" scale="85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4"/>
  <sheetViews>
    <sheetView zoomScale="59" zoomScaleNormal="59" zoomScaleSheetLayoutView="85" workbookViewId="0">
      <selection activeCell="R26" sqref="R26"/>
    </sheetView>
  </sheetViews>
  <sheetFormatPr defaultColWidth="8.85546875" defaultRowHeight="15"/>
  <cols>
    <col min="1" max="1" width="4" style="42" customWidth="1"/>
    <col min="2" max="3" width="18.28515625" style="43" customWidth="1"/>
    <col min="4" max="4" width="12.85546875" style="43" customWidth="1"/>
    <col min="5" max="5" width="26.85546875" style="43" customWidth="1"/>
    <col min="6" max="6" width="15.140625" style="43" customWidth="1"/>
    <col min="7" max="7" width="15.28515625" style="43" customWidth="1"/>
    <col min="8" max="13" width="11.140625" style="43" customWidth="1"/>
    <col min="14" max="14" width="14.28515625" style="43" customWidth="1"/>
    <col min="15" max="16384" width="8.85546875" style="43"/>
  </cols>
  <sheetData>
    <row r="1" spans="1:14" ht="65.45" customHeight="1">
      <c r="A1" s="255" t="s">
        <v>626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45"/>
      <c r="M1" s="45"/>
    </row>
    <row r="2" spans="1:14" ht="65.45" customHeight="1">
      <c r="A2" s="282" t="s">
        <v>477</v>
      </c>
      <c r="B2" s="282" t="s">
        <v>588</v>
      </c>
      <c r="C2" s="283" t="s">
        <v>627</v>
      </c>
      <c r="D2" s="283" t="s">
        <v>628</v>
      </c>
      <c r="E2" s="284" t="s">
        <v>629</v>
      </c>
      <c r="F2" s="282" t="s">
        <v>630</v>
      </c>
      <c r="G2" s="282" t="s">
        <v>631</v>
      </c>
      <c r="H2" s="278" t="s">
        <v>632</v>
      </c>
      <c r="I2" s="278"/>
      <c r="J2" s="279" t="s">
        <v>633</v>
      </c>
      <c r="K2" s="280"/>
      <c r="L2" s="280"/>
      <c r="M2" s="281"/>
      <c r="N2" s="288" t="s">
        <v>530</v>
      </c>
    </row>
    <row r="3" spans="1:14" s="41" customFormat="1" ht="40.15" customHeight="1">
      <c r="A3" s="282"/>
      <c r="B3" s="282"/>
      <c r="C3" s="283"/>
      <c r="D3" s="283"/>
      <c r="E3" s="284"/>
      <c r="F3" s="282"/>
      <c r="G3" s="282"/>
      <c r="H3" s="47" t="s">
        <v>634</v>
      </c>
      <c r="I3" s="47" t="s">
        <v>635</v>
      </c>
      <c r="J3" s="47" t="s">
        <v>636</v>
      </c>
      <c r="K3" s="47" t="s">
        <v>637</v>
      </c>
      <c r="L3" s="47" t="s">
        <v>638</v>
      </c>
      <c r="M3" s="47" t="s">
        <v>639</v>
      </c>
      <c r="N3" s="288"/>
    </row>
    <row r="4" spans="1:14" ht="27" customHeight="1">
      <c r="A4" s="48">
        <v>1</v>
      </c>
      <c r="B4" s="49"/>
      <c r="C4" s="50"/>
      <c r="D4" s="50"/>
      <c r="E4" s="49" t="s">
        <v>640</v>
      </c>
      <c r="F4" s="49" t="s">
        <v>641</v>
      </c>
      <c r="G4" s="49" t="s">
        <v>642</v>
      </c>
      <c r="H4" s="49">
        <v>20</v>
      </c>
      <c r="I4" s="49">
        <v>12</v>
      </c>
      <c r="J4" s="285">
        <v>10</v>
      </c>
      <c r="K4" s="285">
        <v>7</v>
      </c>
      <c r="L4" s="285">
        <v>5</v>
      </c>
      <c r="M4" s="285">
        <v>4</v>
      </c>
      <c r="N4" s="259" t="s">
        <v>643</v>
      </c>
    </row>
    <row r="5" spans="1:14" ht="27" customHeight="1">
      <c r="A5" s="48">
        <v>2</v>
      </c>
      <c r="B5" s="49"/>
      <c r="C5" s="50"/>
      <c r="D5" s="50"/>
      <c r="E5" s="49" t="s">
        <v>644</v>
      </c>
      <c r="F5" s="49" t="s">
        <v>645</v>
      </c>
      <c r="G5" s="49"/>
      <c r="H5" s="49"/>
      <c r="I5" s="49">
        <v>4</v>
      </c>
      <c r="J5" s="286"/>
      <c r="K5" s="286"/>
      <c r="L5" s="286"/>
      <c r="M5" s="286"/>
      <c r="N5" s="289"/>
    </row>
    <row r="6" spans="1:14" ht="27" customHeight="1">
      <c r="A6" s="48">
        <v>3</v>
      </c>
      <c r="B6" s="49"/>
      <c r="C6" s="50"/>
      <c r="D6" s="50"/>
      <c r="E6" s="49" t="s">
        <v>644</v>
      </c>
      <c r="F6" s="49" t="s">
        <v>641</v>
      </c>
      <c r="G6" s="49"/>
      <c r="H6" s="49">
        <v>6</v>
      </c>
      <c r="I6" s="49">
        <v>4</v>
      </c>
      <c r="J6" s="286"/>
      <c r="K6" s="286"/>
      <c r="L6" s="286"/>
      <c r="M6" s="286"/>
      <c r="N6" s="289"/>
    </row>
    <row r="7" spans="1:14" ht="27" customHeight="1">
      <c r="A7" s="48">
        <v>4</v>
      </c>
      <c r="B7" s="49"/>
      <c r="C7" s="50"/>
      <c r="D7" s="50"/>
      <c r="E7" s="49" t="s">
        <v>646</v>
      </c>
      <c r="F7" s="49" t="s">
        <v>641</v>
      </c>
      <c r="G7" s="49"/>
      <c r="H7" s="49">
        <v>4</v>
      </c>
      <c r="I7" s="49">
        <v>2</v>
      </c>
      <c r="J7" s="286"/>
      <c r="K7" s="286"/>
      <c r="L7" s="286"/>
      <c r="M7" s="286"/>
      <c r="N7" s="289"/>
    </row>
    <row r="8" spans="1:14" ht="27" customHeight="1">
      <c r="A8" s="48">
        <v>5</v>
      </c>
      <c r="B8" s="49"/>
      <c r="C8" s="50"/>
      <c r="D8" s="50"/>
      <c r="E8" s="49" t="s">
        <v>647</v>
      </c>
      <c r="F8" s="49" t="s">
        <v>648</v>
      </c>
      <c r="G8" s="49"/>
      <c r="H8" s="49">
        <v>1</v>
      </c>
      <c r="I8" s="49">
        <v>1</v>
      </c>
      <c r="J8" s="286"/>
      <c r="K8" s="286"/>
      <c r="L8" s="286"/>
      <c r="M8" s="286"/>
      <c r="N8" s="289"/>
    </row>
    <row r="9" spans="1:14" ht="27" customHeight="1">
      <c r="A9" s="48">
        <v>6</v>
      </c>
      <c r="B9" s="49"/>
      <c r="C9" s="50"/>
      <c r="D9" s="50"/>
      <c r="E9" s="49" t="s">
        <v>649</v>
      </c>
      <c r="F9" s="49" t="s">
        <v>645</v>
      </c>
      <c r="G9" s="49"/>
      <c r="H9" s="49">
        <v>1</v>
      </c>
      <c r="I9" s="49">
        <v>1</v>
      </c>
      <c r="J9" s="286"/>
      <c r="K9" s="286"/>
      <c r="L9" s="286"/>
      <c r="M9" s="286"/>
      <c r="N9" s="289"/>
    </row>
    <row r="10" spans="1:14" ht="27" customHeight="1">
      <c r="A10" s="48">
        <v>7</v>
      </c>
      <c r="B10" s="49"/>
      <c r="C10" s="50"/>
      <c r="D10" s="50"/>
      <c r="E10" s="49" t="s">
        <v>650</v>
      </c>
      <c r="F10" s="49" t="s">
        <v>645</v>
      </c>
      <c r="G10" s="49" t="s">
        <v>651</v>
      </c>
      <c r="H10" s="49">
        <v>3</v>
      </c>
      <c r="I10" s="49">
        <v>3</v>
      </c>
      <c r="J10" s="286"/>
      <c r="K10" s="286"/>
      <c r="L10" s="286"/>
      <c r="M10" s="286"/>
      <c r="N10" s="289"/>
    </row>
    <row r="11" spans="1:14" ht="27" customHeight="1">
      <c r="A11" s="48">
        <v>8</v>
      </c>
      <c r="B11" s="49"/>
      <c r="C11" s="50"/>
      <c r="D11" s="50"/>
      <c r="E11" s="49" t="s">
        <v>652</v>
      </c>
      <c r="F11" s="49" t="s">
        <v>653</v>
      </c>
      <c r="G11" s="49"/>
      <c r="H11" s="49">
        <v>4</v>
      </c>
      <c r="I11" s="49">
        <v>4</v>
      </c>
      <c r="J11" s="286"/>
      <c r="K11" s="286"/>
      <c r="L11" s="286"/>
      <c r="M11" s="286"/>
      <c r="N11" s="289"/>
    </row>
    <row r="12" spans="1:14" ht="27" customHeight="1">
      <c r="A12" s="48">
        <v>9</v>
      </c>
      <c r="B12" s="49"/>
      <c r="C12" s="50"/>
      <c r="D12" s="50"/>
      <c r="E12" s="49" t="s">
        <v>654</v>
      </c>
      <c r="F12" s="49" t="s">
        <v>641</v>
      </c>
      <c r="G12" s="49"/>
      <c r="H12" s="49">
        <v>1</v>
      </c>
      <c r="I12" s="49">
        <v>1</v>
      </c>
      <c r="J12" s="286"/>
      <c r="K12" s="286"/>
      <c r="L12" s="286"/>
      <c r="M12" s="286"/>
      <c r="N12" s="289"/>
    </row>
    <row r="13" spans="1:14" ht="27" customHeight="1">
      <c r="A13" s="48">
        <v>10</v>
      </c>
      <c r="B13" s="49"/>
      <c r="C13" s="50"/>
      <c r="D13" s="50"/>
      <c r="E13" s="49" t="s">
        <v>655</v>
      </c>
      <c r="F13" s="49" t="s">
        <v>656</v>
      </c>
      <c r="G13" s="49"/>
      <c r="H13" s="49">
        <v>1</v>
      </c>
      <c r="I13" s="49">
        <v>1</v>
      </c>
      <c r="J13" s="286"/>
      <c r="K13" s="286"/>
      <c r="L13" s="286"/>
      <c r="M13" s="286"/>
      <c r="N13" s="289"/>
    </row>
    <row r="14" spans="1:14" ht="27" customHeight="1">
      <c r="A14" s="48">
        <v>11</v>
      </c>
      <c r="B14" s="49"/>
      <c r="C14" s="50"/>
      <c r="D14" s="50"/>
      <c r="E14" s="49" t="s">
        <v>657</v>
      </c>
      <c r="F14" s="49" t="s">
        <v>658</v>
      </c>
      <c r="G14" s="49"/>
      <c r="H14" s="49">
        <v>1</v>
      </c>
      <c r="I14" s="49">
        <v>2</v>
      </c>
      <c r="J14" s="286"/>
      <c r="K14" s="286"/>
      <c r="L14" s="286"/>
      <c r="M14" s="286"/>
      <c r="N14" s="289"/>
    </row>
    <row r="15" spans="1:14" ht="27" customHeight="1">
      <c r="A15" s="48">
        <v>12</v>
      </c>
      <c r="B15" s="49"/>
      <c r="C15" s="50"/>
      <c r="D15" s="50"/>
      <c r="E15" s="49" t="s">
        <v>659</v>
      </c>
      <c r="F15" s="49"/>
      <c r="G15" s="49"/>
      <c r="H15" s="49">
        <v>3</v>
      </c>
      <c r="I15" s="49">
        <v>3</v>
      </c>
      <c r="J15" s="286"/>
      <c r="K15" s="286"/>
      <c r="L15" s="286"/>
      <c r="M15" s="286"/>
      <c r="N15" s="289"/>
    </row>
    <row r="16" spans="1:14" ht="27" customHeight="1">
      <c r="A16" s="48">
        <v>13</v>
      </c>
      <c r="B16" s="49"/>
      <c r="C16" s="50"/>
      <c r="D16" s="50"/>
      <c r="E16" s="49" t="s">
        <v>660</v>
      </c>
      <c r="F16" s="49" t="s">
        <v>641</v>
      </c>
      <c r="G16" s="49"/>
      <c r="H16" s="49">
        <v>2</v>
      </c>
      <c r="I16" s="49">
        <v>1</v>
      </c>
      <c r="J16" s="286"/>
      <c r="K16" s="286"/>
      <c r="L16" s="286"/>
      <c r="M16" s="286"/>
      <c r="N16" s="289"/>
    </row>
    <row r="17" spans="1:14" ht="27" customHeight="1">
      <c r="A17" s="48">
        <v>14</v>
      </c>
      <c r="B17" s="49"/>
      <c r="C17" s="50"/>
      <c r="D17" s="50"/>
      <c r="E17" s="49" t="s">
        <v>661</v>
      </c>
      <c r="F17" s="49" t="s">
        <v>641</v>
      </c>
      <c r="G17" s="49"/>
      <c r="H17" s="49">
        <v>2</v>
      </c>
      <c r="I17" s="49">
        <v>1</v>
      </c>
      <c r="J17" s="286"/>
      <c r="K17" s="286"/>
      <c r="L17" s="286"/>
      <c r="M17" s="286"/>
      <c r="N17" s="289"/>
    </row>
    <row r="18" spans="1:14" ht="27" customHeight="1">
      <c r="A18" s="48">
        <v>15</v>
      </c>
      <c r="B18" s="49"/>
      <c r="C18" s="50"/>
      <c r="D18" s="50"/>
      <c r="E18" s="49" t="s">
        <v>662</v>
      </c>
      <c r="F18" s="49" t="s">
        <v>641</v>
      </c>
      <c r="G18" s="49" t="s">
        <v>663</v>
      </c>
      <c r="H18" s="49">
        <v>1</v>
      </c>
      <c r="I18" s="49">
        <v>0</v>
      </c>
      <c r="J18" s="286"/>
      <c r="K18" s="286"/>
      <c r="L18" s="286"/>
      <c r="M18" s="286"/>
      <c r="N18" s="289"/>
    </row>
    <row r="19" spans="1:14" ht="27" customHeight="1">
      <c r="A19" s="48">
        <v>16</v>
      </c>
      <c r="B19" s="49"/>
      <c r="C19" s="50"/>
      <c r="D19" s="50"/>
      <c r="E19" s="49" t="s">
        <v>664</v>
      </c>
      <c r="F19" s="49"/>
      <c r="G19" s="49"/>
      <c r="H19" s="49">
        <v>2</v>
      </c>
      <c r="I19" s="49">
        <v>2</v>
      </c>
      <c r="J19" s="286"/>
      <c r="K19" s="286"/>
      <c r="L19" s="286"/>
      <c r="M19" s="286"/>
      <c r="N19" s="289"/>
    </row>
    <row r="20" spans="1:14" ht="27" customHeight="1">
      <c r="A20" s="48">
        <v>17</v>
      </c>
      <c r="B20" s="49"/>
      <c r="C20" s="50"/>
      <c r="D20" s="50"/>
      <c r="E20" s="49" t="s">
        <v>665</v>
      </c>
      <c r="F20" s="49"/>
      <c r="G20" s="49"/>
      <c r="H20" s="49">
        <v>100</v>
      </c>
      <c r="I20" s="49">
        <v>30</v>
      </c>
      <c r="J20" s="286"/>
      <c r="K20" s="286"/>
      <c r="L20" s="286"/>
      <c r="M20" s="286"/>
      <c r="N20" s="289"/>
    </row>
    <row r="21" spans="1:14" ht="27" customHeight="1">
      <c r="A21" s="48">
        <v>18</v>
      </c>
      <c r="B21" s="49"/>
      <c r="C21" s="50"/>
      <c r="D21" s="50"/>
      <c r="E21" s="49" t="s">
        <v>666</v>
      </c>
      <c r="F21" s="49"/>
      <c r="G21" s="49"/>
      <c r="H21" s="49">
        <v>10</v>
      </c>
      <c r="I21" s="49">
        <v>0</v>
      </c>
      <c r="J21" s="286"/>
      <c r="K21" s="286"/>
      <c r="L21" s="286"/>
      <c r="M21" s="286"/>
      <c r="N21" s="289"/>
    </row>
    <row r="22" spans="1:14" ht="27" customHeight="1">
      <c r="A22" s="48">
        <v>19</v>
      </c>
      <c r="B22" s="49"/>
      <c r="C22" s="50"/>
      <c r="D22" s="50"/>
      <c r="E22" s="49" t="s">
        <v>667</v>
      </c>
      <c r="F22" s="49"/>
      <c r="G22" s="49"/>
      <c r="H22" s="49">
        <v>5</v>
      </c>
      <c r="I22" s="49">
        <v>0</v>
      </c>
      <c r="J22" s="286"/>
      <c r="K22" s="286"/>
      <c r="L22" s="286"/>
      <c r="M22" s="286"/>
      <c r="N22" s="289"/>
    </row>
    <row r="23" spans="1:14" ht="27" customHeight="1">
      <c r="A23" s="48">
        <v>20</v>
      </c>
      <c r="B23" s="49"/>
      <c r="C23" s="50"/>
      <c r="D23" s="50"/>
      <c r="E23" s="49" t="s">
        <v>668</v>
      </c>
      <c r="F23" s="49"/>
      <c r="G23" s="49"/>
      <c r="H23" s="49">
        <v>2</v>
      </c>
      <c r="I23" s="49">
        <v>2</v>
      </c>
      <c r="J23" s="286"/>
      <c r="K23" s="286"/>
      <c r="L23" s="286"/>
      <c r="M23" s="286"/>
      <c r="N23" s="289"/>
    </row>
    <row r="24" spans="1:14" ht="27" customHeight="1">
      <c r="A24" s="48">
        <v>21</v>
      </c>
      <c r="B24" s="49"/>
      <c r="C24" s="50"/>
      <c r="D24" s="50"/>
      <c r="E24" s="49"/>
      <c r="F24" s="49"/>
      <c r="G24" s="49"/>
      <c r="H24" s="49"/>
      <c r="I24" s="49"/>
      <c r="J24" s="287"/>
      <c r="K24" s="287"/>
      <c r="L24" s="287"/>
      <c r="M24" s="287"/>
      <c r="N24" s="289"/>
    </row>
  </sheetData>
  <mergeCells count="16">
    <mergeCell ref="J4:J24"/>
    <mergeCell ref="K4:K24"/>
    <mergeCell ref="L4:L24"/>
    <mergeCell ref="M4:M24"/>
    <mergeCell ref="N2:N3"/>
    <mergeCell ref="N4:N24"/>
    <mergeCell ref="A1:K1"/>
    <mergeCell ref="H2:I2"/>
    <mergeCell ref="J2:M2"/>
    <mergeCell ref="A2:A3"/>
    <mergeCell ref="B2:B3"/>
    <mergeCell ref="C2:C3"/>
    <mergeCell ref="D2:D3"/>
    <mergeCell ref="E2:E3"/>
    <mergeCell ref="F2:F3"/>
    <mergeCell ref="G2:G3"/>
  </mergeCells>
  <pageMargins left="0.45" right="0" top="0" bottom="0" header="0" footer="0"/>
  <pageSetup paperSize="9" scale="79" orientation="landscape"/>
  <colBreaks count="1" manualBreakCount="1">
    <brk id="13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G26"/>
  <sheetViews>
    <sheetView zoomScale="85" zoomScaleNormal="85" workbookViewId="0">
      <selection activeCell="G23" sqref="G23"/>
    </sheetView>
  </sheetViews>
  <sheetFormatPr defaultColWidth="9" defaultRowHeight="15"/>
  <cols>
    <col min="6" max="6" width="15.140625" customWidth="1"/>
  </cols>
  <sheetData>
    <row r="3" spans="2:7">
      <c r="F3" s="296" t="s">
        <v>669</v>
      </c>
      <c r="G3" s="296"/>
    </row>
    <row r="4" spans="2:7">
      <c r="B4" s="297" t="s">
        <v>670</v>
      </c>
      <c r="C4" s="294"/>
      <c r="F4" t="s">
        <v>671</v>
      </c>
      <c r="G4" t="s">
        <v>672</v>
      </c>
    </row>
    <row r="5" spans="2:7">
      <c r="B5" s="36" t="s">
        <v>673</v>
      </c>
      <c r="C5" s="37">
        <v>52</v>
      </c>
      <c r="F5" t="s">
        <v>674</v>
      </c>
      <c r="G5" t="s">
        <v>675</v>
      </c>
    </row>
    <row r="6" spans="2:7">
      <c r="B6" s="36" t="s">
        <v>676</v>
      </c>
      <c r="C6" s="37">
        <v>47</v>
      </c>
    </row>
    <row r="7" spans="2:7">
      <c r="B7" s="36" t="s">
        <v>677</v>
      </c>
      <c r="C7" s="37">
        <v>34</v>
      </c>
    </row>
    <row r="8" spans="2:7">
      <c r="B8" s="36" t="s">
        <v>678</v>
      </c>
      <c r="C8" s="37">
        <v>34</v>
      </c>
    </row>
    <row r="9" spans="2:7">
      <c r="B9" s="36" t="s">
        <v>679</v>
      </c>
      <c r="C9" s="37">
        <v>48</v>
      </c>
    </row>
    <row r="10" spans="2:7">
      <c r="B10" s="36" t="s">
        <v>680</v>
      </c>
      <c r="C10" s="37">
        <v>59</v>
      </c>
    </row>
    <row r="11" spans="2:7">
      <c r="B11" s="36" t="s">
        <v>681</v>
      </c>
      <c r="C11" s="37">
        <v>28</v>
      </c>
    </row>
    <row r="12" spans="2:7">
      <c r="B12" s="36" t="s">
        <v>682</v>
      </c>
      <c r="C12" s="37">
        <v>18</v>
      </c>
    </row>
    <row r="13" spans="2:7">
      <c r="B13" s="36" t="s">
        <v>683</v>
      </c>
      <c r="C13" s="37">
        <v>9</v>
      </c>
    </row>
    <row r="14" spans="2:7">
      <c r="B14" s="36" t="s">
        <v>684</v>
      </c>
      <c r="C14" s="37">
        <v>11</v>
      </c>
    </row>
    <row r="15" spans="2:7">
      <c r="B15" s="36" t="s">
        <v>685</v>
      </c>
      <c r="C15" s="37">
        <v>19</v>
      </c>
    </row>
    <row r="16" spans="2:7">
      <c r="B16" s="38"/>
      <c r="C16" s="39">
        <f>SUM(C5:C15)</f>
        <v>359</v>
      </c>
    </row>
    <row r="18" spans="2:4">
      <c r="B18" s="292" t="s">
        <v>686</v>
      </c>
      <c r="C18" s="293"/>
      <c r="D18" s="294"/>
    </row>
    <row r="19" spans="2:4">
      <c r="B19" s="290"/>
      <c r="C19" s="291"/>
      <c r="D19" s="295"/>
    </row>
    <row r="20" spans="2:4">
      <c r="B20" s="298">
        <v>267518444</v>
      </c>
      <c r="C20" s="296"/>
      <c r="D20" s="37" t="s">
        <v>687</v>
      </c>
    </row>
    <row r="21" spans="2:4">
      <c r="B21" s="298">
        <v>232500696.03944999</v>
      </c>
      <c r="C21" s="296"/>
      <c r="D21" s="37" t="s">
        <v>687</v>
      </c>
    </row>
    <row r="22" spans="2:4">
      <c r="B22" s="299">
        <f>SUM(B20:B21)</f>
        <v>500019140.03944999</v>
      </c>
      <c r="C22" s="300"/>
      <c r="D22" s="37" t="s">
        <v>687</v>
      </c>
    </row>
    <row r="23" spans="2:4">
      <c r="B23" s="290" t="s">
        <v>688</v>
      </c>
      <c r="C23" s="291"/>
      <c r="D23" s="37"/>
    </row>
    <row r="24" spans="2:4">
      <c r="B24" s="36">
        <v>10</v>
      </c>
      <c r="C24">
        <v>1</v>
      </c>
      <c r="D24" s="37"/>
    </row>
    <row r="25" spans="2:4">
      <c r="B25" s="36">
        <v>500</v>
      </c>
      <c r="C25">
        <f>B25*1/B24</f>
        <v>50</v>
      </c>
      <c r="D25" s="37" t="s">
        <v>689</v>
      </c>
    </row>
    <row r="26" spans="2:4">
      <c r="B26" s="38"/>
      <c r="C26" s="40">
        <f>C25/18</f>
        <v>2.7777777777777799</v>
      </c>
      <c r="D26" s="39" t="s">
        <v>690</v>
      </c>
    </row>
  </sheetData>
  <mergeCells count="7">
    <mergeCell ref="B23:C23"/>
    <mergeCell ref="B18:D19"/>
    <mergeCell ref="F3:G3"/>
    <mergeCell ref="B4:C4"/>
    <mergeCell ref="B20:C20"/>
    <mergeCell ref="B21:C21"/>
    <mergeCell ref="B22:C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DG200"/>
  <sheetViews>
    <sheetView showGridLines="0" topLeftCell="A7" zoomScale="83" zoomScaleNormal="83" zoomScaleSheetLayoutView="80" workbookViewId="0">
      <selection activeCell="C12" sqref="C12"/>
    </sheetView>
  </sheetViews>
  <sheetFormatPr defaultColWidth="2.7109375" defaultRowHeight="30" customHeight="1"/>
  <cols>
    <col min="1" max="1" width="5.7109375" style="2" customWidth="1"/>
    <col min="2" max="2" width="17.85546875" style="3" customWidth="1"/>
    <col min="3" max="3" width="62.5703125" style="4" customWidth="1"/>
    <col min="4" max="5" width="6.85546875" style="3" customWidth="1"/>
    <col min="6" max="6" width="36.7109375" style="5" customWidth="1"/>
    <col min="7" max="7" width="12.85546875" style="6" customWidth="1"/>
    <col min="8" max="8" width="10.7109375" style="6" customWidth="1"/>
    <col min="9" max="9" width="12.85546875" style="6" customWidth="1"/>
    <col min="10" max="10" width="12.85546875" style="7" customWidth="1"/>
    <col min="11" max="11" width="10.7109375" style="6" customWidth="1"/>
    <col min="12" max="14" width="12.85546875" style="6" customWidth="1"/>
    <col min="15" max="15" width="15.7109375" style="8" customWidth="1"/>
    <col min="16" max="35" width="8.5703125" style="6" customWidth="1"/>
    <col min="36" max="45" width="8.5703125" style="2" customWidth="1"/>
    <col min="46" max="50" width="6.85546875" style="2" hidden="1" customWidth="1"/>
    <col min="51" max="59" width="6.28515625" style="2" hidden="1" customWidth="1"/>
    <col min="60" max="80" width="7.42578125" style="2" hidden="1" customWidth="1"/>
    <col min="81" max="89" width="6" style="2" hidden="1" customWidth="1"/>
    <col min="90" max="111" width="7.140625" style="2" hidden="1" customWidth="1"/>
    <col min="112" max="16384" width="2.7109375" style="2"/>
  </cols>
  <sheetData>
    <row r="1" spans="1:50" ht="170.45" customHeight="1">
      <c r="F1" s="301" t="s">
        <v>691</v>
      </c>
      <c r="G1" s="302"/>
      <c r="H1" s="302"/>
      <c r="I1" s="302"/>
      <c r="J1" s="302"/>
      <c r="K1" s="302"/>
      <c r="L1" s="302"/>
      <c r="M1" s="302"/>
      <c r="N1" s="302"/>
      <c r="O1" s="302"/>
    </row>
    <row r="2" spans="1:50" ht="39.6" customHeight="1">
      <c r="F2" s="9"/>
      <c r="G2" s="303" t="s">
        <v>692</v>
      </c>
      <c r="H2" s="304"/>
      <c r="I2" s="305"/>
      <c r="J2" s="306" t="s">
        <v>693</v>
      </c>
      <c r="K2" s="307"/>
      <c r="L2" s="308"/>
      <c r="M2" s="16"/>
      <c r="N2" s="16"/>
      <c r="O2" s="17"/>
      <c r="P2" s="18"/>
      <c r="R2" s="23"/>
      <c r="S2" s="314" t="s">
        <v>694</v>
      </c>
      <c r="T2" s="315"/>
      <c r="U2" s="315"/>
      <c r="V2" s="24"/>
      <c r="W2" s="25"/>
      <c r="X2" s="312" t="s">
        <v>695</v>
      </c>
      <c r="Y2" s="313"/>
      <c r="Z2" s="313"/>
      <c r="AA2" s="313"/>
      <c r="AB2" s="316"/>
      <c r="AC2" s="28"/>
      <c r="AD2" s="309" t="s">
        <v>696</v>
      </c>
      <c r="AE2" s="310"/>
      <c r="AF2" s="310"/>
      <c r="AG2" s="311"/>
      <c r="AH2" s="29"/>
      <c r="AI2" s="29"/>
      <c r="AJ2" s="30"/>
      <c r="AK2" s="312" t="s">
        <v>697</v>
      </c>
      <c r="AL2" s="313"/>
      <c r="AM2" s="313"/>
      <c r="AN2" s="313"/>
      <c r="AO2" s="31"/>
      <c r="AP2" s="32"/>
      <c r="AQ2" s="312" t="s">
        <v>698</v>
      </c>
      <c r="AR2" s="313"/>
      <c r="AS2" s="313"/>
      <c r="AT2" s="313"/>
      <c r="AU2" s="313"/>
      <c r="AV2" s="33"/>
      <c r="AW2" s="33"/>
      <c r="AX2" s="33"/>
    </row>
    <row r="3" spans="1:50" s="1" customFormat="1" ht="49.5">
      <c r="A3" s="212" t="s">
        <v>0</v>
      </c>
      <c r="B3" s="213" t="s">
        <v>699</v>
      </c>
      <c r="C3" s="213" t="s">
        <v>700</v>
      </c>
      <c r="D3" s="213" t="s">
        <v>701</v>
      </c>
      <c r="E3" s="213" t="s">
        <v>702</v>
      </c>
      <c r="F3" s="214" t="s">
        <v>909</v>
      </c>
      <c r="G3" s="215" t="s">
        <v>911</v>
      </c>
      <c r="H3" s="216" t="s">
        <v>703</v>
      </c>
      <c r="I3" s="217" t="s">
        <v>910</v>
      </c>
      <c r="J3" s="216" t="s">
        <v>911</v>
      </c>
      <c r="K3" s="215" t="s">
        <v>703</v>
      </c>
      <c r="L3" s="217" t="s">
        <v>910</v>
      </c>
      <c r="M3" s="215" t="s">
        <v>704</v>
      </c>
      <c r="N3" s="217" t="s">
        <v>705</v>
      </c>
      <c r="O3" s="215" t="s">
        <v>912</v>
      </c>
      <c r="P3" s="26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 spans="1:50" ht="30" customHeight="1">
      <c r="A4" s="10">
        <v>1</v>
      </c>
      <c r="B4" s="11">
        <v>1004240301931</v>
      </c>
      <c r="C4" s="12" t="s">
        <v>706</v>
      </c>
      <c r="D4" s="11" t="s">
        <v>707</v>
      </c>
      <c r="E4" s="11">
        <v>1</v>
      </c>
      <c r="F4" s="13" t="s">
        <v>708</v>
      </c>
      <c r="G4" s="14">
        <f>+I4-H4+1</f>
        <v>45566</v>
      </c>
      <c r="H4" s="15"/>
      <c r="I4" s="14">
        <v>45565</v>
      </c>
      <c r="J4" s="14"/>
      <c r="K4" s="19">
        <f>+L4-J4+1</f>
        <v>1</v>
      </c>
      <c r="L4" s="14"/>
      <c r="M4" s="20">
        <f>+E4</f>
        <v>1</v>
      </c>
      <c r="N4" s="19"/>
      <c r="O4" s="21">
        <f>IFERROR(N4/M4,"")</f>
        <v>0</v>
      </c>
    </row>
    <row r="5" spans="1:50" ht="30" customHeight="1">
      <c r="A5" s="10">
        <f>+A4+1</f>
        <v>2</v>
      </c>
      <c r="B5" s="11">
        <v>1004240301952</v>
      </c>
      <c r="C5" s="12" t="s">
        <v>709</v>
      </c>
      <c r="D5" s="11" t="s">
        <v>707</v>
      </c>
      <c r="E5" s="11">
        <v>1</v>
      </c>
      <c r="F5" s="13" t="s">
        <v>708</v>
      </c>
      <c r="G5" s="14">
        <f>+I5-H5+1</f>
        <v>45582</v>
      </c>
      <c r="H5" s="15"/>
      <c r="I5" s="14">
        <v>45581</v>
      </c>
      <c r="J5" s="14"/>
      <c r="K5" s="19">
        <f>+L5-J5+1</f>
        <v>1</v>
      </c>
      <c r="L5" s="14"/>
      <c r="M5" s="20">
        <f t="shared" ref="M5:M68" si="0">+E5</f>
        <v>1</v>
      </c>
      <c r="N5" s="19"/>
      <c r="O5" s="21">
        <f t="shared" ref="O5:O68" si="1">IFERROR(N5/M5,"")</f>
        <v>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50" ht="30" customHeight="1">
      <c r="A6" s="10">
        <f t="shared" ref="A6:A69" si="2">+A5+1</f>
        <v>3</v>
      </c>
      <c r="B6" s="11">
        <v>1004240402880</v>
      </c>
      <c r="C6" s="12" t="s">
        <v>710</v>
      </c>
      <c r="D6" s="11" t="s">
        <v>707</v>
      </c>
      <c r="E6" s="11">
        <v>2</v>
      </c>
      <c r="F6" s="13" t="s">
        <v>708</v>
      </c>
      <c r="G6" s="14">
        <f t="shared" ref="G6:G69" si="3">+I6-H6+1</f>
        <v>45570</v>
      </c>
      <c r="H6" s="15"/>
      <c r="I6" s="14">
        <v>45569</v>
      </c>
      <c r="J6" s="14"/>
      <c r="K6" s="19">
        <f t="shared" ref="K6:K69" si="4">+L6-J6+1</f>
        <v>1</v>
      </c>
      <c r="L6" s="14"/>
      <c r="M6" s="20">
        <f t="shared" si="0"/>
        <v>2</v>
      </c>
      <c r="N6" s="19"/>
      <c r="O6" s="21">
        <f t="shared" si="1"/>
        <v>0</v>
      </c>
    </row>
    <row r="7" spans="1:50" ht="30" customHeight="1">
      <c r="A7" s="10">
        <f t="shared" si="2"/>
        <v>4</v>
      </c>
      <c r="B7" s="11">
        <v>1001240605080</v>
      </c>
      <c r="C7" s="12" t="s">
        <v>711</v>
      </c>
      <c r="D7" s="11" t="s">
        <v>712</v>
      </c>
      <c r="E7" s="11">
        <v>1</v>
      </c>
      <c r="F7" s="13" t="s">
        <v>708</v>
      </c>
      <c r="G7" s="14">
        <f t="shared" si="3"/>
        <v>45582</v>
      </c>
      <c r="H7" s="15"/>
      <c r="I7" s="14">
        <v>45581</v>
      </c>
      <c r="J7" s="14"/>
      <c r="K7" s="19">
        <f t="shared" si="4"/>
        <v>1</v>
      </c>
      <c r="L7" s="14"/>
      <c r="M7" s="20">
        <f t="shared" si="0"/>
        <v>1</v>
      </c>
      <c r="N7" s="19"/>
      <c r="O7" s="21">
        <f t="shared" si="1"/>
        <v>0</v>
      </c>
    </row>
    <row r="8" spans="1:50" ht="30" customHeight="1">
      <c r="A8" s="10">
        <f t="shared" si="2"/>
        <v>5</v>
      </c>
      <c r="B8" s="11">
        <v>1001240605081</v>
      </c>
      <c r="C8" s="12" t="s">
        <v>713</v>
      </c>
      <c r="D8" s="11" t="s">
        <v>712</v>
      </c>
      <c r="E8" s="11">
        <v>1</v>
      </c>
      <c r="F8" s="13" t="s">
        <v>708</v>
      </c>
      <c r="G8" s="14">
        <f t="shared" si="3"/>
        <v>45576</v>
      </c>
      <c r="H8" s="15"/>
      <c r="I8" s="14">
        <v>45575</v>
      </c>
      <c r="J8" s="14"/>
      <c r="K8" s="19">
        <f t="shared" si="4"/>
        <v>1</v>
      </c>
      <c r="L8" s="14"/>
      <c r="M8" s="20">
        <f t="shared" si="0"/>
        <v>1</v>
      </c>
      <c r="N8" s="19"/>
      <c r="O8" s="21">
        <f t="shared" si="1"/>
        <v>0</v>
      </c>
    </row>
    <row r="9" spans="1:50" ht="30" customHeight="1">
      <c r="A9" s="10">
        <f t="shared" si="2"/>
        <v>6</v>
      </c>
      <c r="B9" s="11">
        <v>1001240605084</v>
      </c>
      <c r="C9" s="12" t="s">
        <v>714</v>
      </c>
      <c r="D9" s="11" t="s">
        <v>712</v>
      </c>
      <c r="E9" s="11">
        <v>2</v>
      </c>
      <c r="F9" s="13" t="s">
        <v>708</v>
      </c>
      <c r="G9" s="14">
        <f t="shared" si="3"/>
        <v>45576</v>
      </c>
      <c r="H9" s="15"/>
      <c r="I9" s="14">
        <v>45575</v>
      </c>
      <c r="J9" s="14"/>
      <c r="K9" s="19">
        <f t="shared" si="4"/>
        <v>1</v>
      </c>
      <c r="L9" s="14"/>
      <c r="M9" s="20">
        <f t="shared" si="0"/>
        <v>2</v>
      </c>
      <c r="N9" s="19"/>
      <c r="O9" s="21">
        <f t="shared" si="1"/>
        <v>0</v>
      </c>
    </row>
    <row r="10" spans="1:50" ht="30" customHeight="1">
      <c r="A10" s="10">
        <f t="shared" si="2"/>
        <v>7</v>
      </c>
      <c r="B10" s="11">
        <v>1001240605086</v>
      </c>
      <c r="C10" s="12" t="s">
        <v>715</v>
      </c>
      <c r="D10" s="11" t="s">
        <v>712</v>
      </c>
      <c r="E10" s="11">
        <v>1</v>
      </c>
      <c r="F10" s="13" t="s">
        <v>708</v>
      </c>
      <c r="G10" s="14">
        <f t="shared" si="3"/>
        <v>45576</v>
      </c>
      <c r="H10" s="15"/>
      <c r="I10" s="14">
        <v>45575</v>
      </c>
      <c r="J10" s="14"/>
      <c r="K10" s="19">
        <f t="shared" si="4"/>
        <v>1</v>
      </c>
      <c r="L10" s="14"/>
      <c r="M10" s="20">
        <f t="shared" si="0"/>
        <v>1</v>
      </c>
      <c r="N10" s="19"/>
      <c r="O10" s="21">
        <f t="shared" si="1"/>
        <v>0</v>
      </c>
    </row>
    <row r="11" spans="1:50" ht="30" customHeight="1">
      <c r="A11" s="10">
        <f t="shared" si="2"/>
        <v>8</v>
      </c>
      <c r="B11" s="11">
        <v>1001240606310</v>
      </c>
      <c r="C11" s="12" t="s">
        <v>716</v>
      </c>
      <c r="D11" s="11" t="s">
        <v>707</v>
      </c>
      <c r="E11" s="11">
        <v>1</v>
      </c>
      <c r="F11" s="13" t="s">
        <v>708</v>
      </c>
      <c r="G11" s="14">
        <f t="shared" si="3"/>
        <v>45576</v>
      </c>
      <c r="H11" s="15"/>
      <c r="I11" s="14">
        <v>45575</v>
      </c>
      <c r="J11" s="14"/>
      <c r="K11" s="19">
        <f t="shared" si="4"/>
        <v>1</v>
      </c>
      <c r="L11" s="14"/>
      <c r="M11" s="20">
        <f t="shared" si="0"/>
        <v>1</v>
      </c>
      <c r="N11" s="19"/>
      <c r="O11" s="21">
        <f t="shared" si="1"/>
        <v>0</v>
      </c>
    </row>
    <row r="12" spans="1:50" ht="30" customHeight="1">
      <c r="A12" s="10">
        <f t="shared" si="2"/>
        <v>9</v>
      </c>
      <c r="B12" s="11">
        <v>1001240606311</v>
      </c>
      <c r="C12" s="12" t="s">
        <v>717</v>
      </c>
      <c r="D12" s="11" t="s">
        <v>707</v>
      </c>
      <c r="E12" s="11">
        <v>1</v>
      </c>
      <c r="F12" s="13" t="s">
        <v>708</v>
      </c>
      <c r="G12" s="14">
        <f t="shared" si="3"/>
        <v>45576</v>
      </c>
      <c r="H12" s="15"/>
      <c r="I12" s="14">
        <v>45575</v>
      </c>
      <c r="J12" s="14"/>
      <c r="K12" s="19">
        <f t="shared" si="4"/>
        <v>1</v>
      </c>
      <c r="L12" s="14"/>
      <c r="M12" s="20">
        <f t="shared" si="0"/>
        <v>1</v>
      </c>
      <c r="N12" s="19"/>
      <c r="O12" s="21">
        <f t="shared" si="1"/>
        <v>0</v>
      </c>
    </row>
    <row r="13" spans="1:50" ht="30" customHeight="1">
      <c r="A13" s="10">
        <f t="shared" si="2"/>
        <v>10</v>
      </c>
      <c r="B13" s="11">
        <v>1001240606321</v>
      </c>
      <c r="C13" s="12" t="s">
        <v>718</v>
      </c>
      <c r="D13" s="11" t="s">
        <v>707</v>
      </c>
      <c r="E13" s="11">
        <v>1</v>
      </c>
      <c r="F13" s="13" t="s">
        <v>708</v>
      </c>
      <c r="G13" s="14">
        <f t="shared" si="3"/>
        <v>45576</v>
      </c>
      <c r="H13" s="15"/>
      <c r="I13" s="14">
        <v>45575</v>
      </c>
      <c r="J13" s="14"/>
      <c r="K13" s="19">
        <f t="shared" si="4"/>
        <v>1</v>
      </c>
      <c r="L13" s="14"/>
      <c r="M13" s="20">
        <f t="shared" si="0"/>
        <v>1</v>
      </c>
      <c r="N13" s="19"/>
      <c r="O13" s="21">
        <f t="shared" si="1"/>
        <v>0</v>
      </c>
    </row>
    <row r="14" spans="1:50" ht="30" customHeight="1">
      <c r="A14" s="10">
        <f t="shared" si="2"/>
        <v>11</v>
      </c>
      <c r="B14" s="11">
        <v>1006240706708</v>
      </c>
      <c r="C14" s="12" t="s">
        <v>719</v>
      </c>
      <c r="D14" s="11" t="s">
        <v>707</v>
      </c>
      <c r="E14" s="11">
        <v>2</v>
      </c>
      <c r="F14" s="13" t="s">
        <v>708</v>
      </c>
      <c r="G14" s="14">
        <f t="shared" si="3"/>
        <v>45576</v>
      </c>
      <c r="H14" s="15"/>
      <c r="I14" s="14">
        <v>45575</v>
      </c>
      <c r="J14" s="14"/>
      <c r="K14" s="19">
        <f t="shared" si="4"/>
        <v>1</v>
      </c>
      <c r="L14" s="14"/>
      <c r="M14" s="20">
        <f t="shared" si="0"/>
        <v>2</v>
      </c>
      <c r="N14" s="19"/>
      <c r="O14" s="21">
        <f t="shared" si="1"/>
        <v>0</v>
      </c>
    </row>
    <row r="15" spans="1:50" ht="30" customHeight="1">
      <c r="A15" s="10">
        <f t="shared" si="2"/>
        <v>12</v>
      </c>
      <c r="B15" s="11">
        <v>1005240604713</v>
      </c>
      <c r="C15" s="12" t="s">
        <v>720</v>
      </c>
      <c r="D15" s="11" t="s">
        <v>712</v>
      </c>
      <c r="E15" s="11">
        <v>1</v>
      </c>
      <c r="F15" s="13" t="s">
        <v>708</v>
      </c>
      <c r="G15" s="14">
        <f t="shared" si="3"/>
        <v>45576</v>
      </c>
      <c r="H15" s="15"/>
      <c r="I15" s="14">
        <v>45575</v>
      </c>
      <c r="J15" s="14"/>
      <c r="K15" s="19">
        <f t="shared" si="4"/>
        <v>1</v>
      </c>
      <c r="L15" s="14"/>
      <c r="M15" s="20">
        <f t="shared" si="0"/>
        <v>1</v>
      </c>
      <c r="N15" s="19"/>
      <c r="O15" s="21">
        <f t="shared" si="1"/>
        <v>0</v>
      </c>
    </row>
    <row r="16" spans="1:50" ht="30" customHeight="1">
      <c r="A16" s="10">
        <f t="shared" si="2"/>
        <v>13</v>
      </c>
      <c r="B16" s="11">
        <v>1006240606235</v>
      </c>
      <c r="C16" s="12" t="s">
        <v>721</v>
      </c>
      <c r="D16" s="11" t="s">
        <v>712</v>
      </c>
      <c r="E16" s="11">
        <v>1</v>
      </c>
      <c r="F16" s="13" t="s">
        <v>708</v>
      </c>
      <c r="G16" s="14">
        <f t="shared" si="3"/>
        <v>45576</v>
      </c>
      <c r="H16" s="15"/>
      <c r="I16" s="14">
        <v>45575</v>
      </c>
      <c r="J16" s="14"/>
      <c r="K16" s="19">
        <f t="shared" si="4"/>
        <v>1</v>
      </c>
      <c r="L16" s="14"/>
      <c r="M16" s="20">
        <f t="shared" si="0"/>
        <v>1</v>
      </c>
      <c r="N16" s="19"/>
      <c r="O16" s="21">
        <f t="shared" si="1"/>
        <v>0</v>
      </c>
      <c r="AS16" s="34"/>
    </row>
    <row r="17" spans="1:46" ht="30" customHeight="1">
      <c r="A17" s="10">
        <f t="shared" si="2"/>
        <v>14</v>
      </c>
      <c r="B17" s="11">
        <v>1003240605425</v>
      </c>
      <c r="C17" s="12" t="s">
        <v>722</v>
      </c>
      <c r="D17" s="11" t="s">
        <v>712</v>
      </c>
      <c r="E17" s="11">
        <v>5</v>
      </c>
      <c r="F17" s="13" t="s">
        <v>708</v>
      </c>
      <c r="G17" s="14">
        <f t="shared" si="3"/>
        <v>45570</v>
      </c>
      <c r="H17" s="15"/>
      <c r="I17" s="14">
        <v>45569</v>
      </c>
      <c r="J17" s="14"/>
      <c r="K17" s="19">
        <f t="shared" si="4"/>
        <v>1</v>
      </c>
      <c r="L17" s="14"/>
      <c r="M17" s="20">
        <f t="shared" si="0"/>
        <v>5</v>
      </c>
      <c r="N17" s="19"/>
      <c r="O17" s="21">
        <f t="shared" si="1"/>
        <v>0</v>
      </c>
    </row>
    <row r="18" spans="1:46" ht="30" customHeight="1">
      <c r="A18" s="10">
        <f t="shared" si="2"/>
        <v>15</v>
      </c>
      <c r="B18" s="11">
        <v>1003240605433</v>
      </c>
      <c r="C18" s="12" t="s">
        <v>723</v>
      </c>
      <c r="D18" s="11" t="s">
        <v>712</v>
      </c>
      <c r="E18" s="11">
        <v>10</v>
      </c>
      <c r="F18" s="13" t="s">
        <v>708</v>
      </c>
      <c r="G18" s="14">
        <f t="shared" si="3"/>
        <v>45576</v>
      </c>
      <c r="H18" s="15"/>
      <c r="I18" s="14">
        <v>45575</v>
      </c>
      <c r="J18" s="14"/>
      <c r="K18" s="19">
        <f t="shared" si="4"/>
        <v>1</v>
      </c>
      <c r="L18" s="14"/>
      <c r="M18" s="20">
        <f t="shared" si="0"/>
        <v>10</v>
      </c>
      <c r="N18" s="19"/>
      <c r="O18" s="21">
        <f t="shared" si="1"/>
        <v>0</v>
      </c>
    </row>
    <row r="19" spans="1:46" ht="30" customHeight="1">
      <c r="A19" s="10">
        <f t="shared" si="2"/>
        <v>16</v>
      </c>
      <c r="B19" s="11">
        <v>1003240605435</v>
      </c>
      <c r="C19" s="12" t="s">
        <v>724</v>
      </c>
      <c r="D19" s="11" t="s">
        <v>712</v>
      </c>
      <c r="E19" s="11">
        <v>10</v>
      </c>
      <c r="F19" s="13" t="s">
        <v>708</v>
      </c>
      <c r="G19" s="14">
        <f t="shared" si="3"/>
        <v>45583</v>
      </c>
      <c r="H19" s="15"/>
      <c r="I19" s="14">
        <v>45582</v>
      </c>
      <c r="J19" s="14"/>
      <c r="K19" s="19">
        <f t="shared" si="4"/>
        <v>1</v>
      </c>
      <c r="L19" s="14"/>
      <c r="M19" s="20">
        <f t="shared" si="0"/>
        <v>10</v>
      </c>
      <c r="N19" s="19"/>
      <c r="O19" s="21">
        <f t="shared" si="1"/>
        <v>0</v>
      </c>
    </row>
    <row r="20" spans="1:46" ht="30" customHeight="1">
      <c r="A20" s="10">
        <f t="shared" si="2"/>
        <v>17</v>
      </c>
      <c r="B20" s="11">
        <v>1003240605459</v>
      </c>
      <c r="C20" s="12" t="s">
        <v>725</v>
      </c>
      <c r="D20" s="11" t="s">
        <v>712</v>
      </c>
      <c r="E20" s="11">
        <v>13</v>
      </c>
      <c r="F20" s="13" t="s">
        <v>708</v>
      </c>
      <c r="G20" s="14">
        <f t="shared" si="3"/>
        <v>45583</v>
      </c>
      <c r="H20" s="15"/>
      <c r="I20" s="14">
        <v>45582</v>
      </c>
      <c r="J20" s="14"/>
      <c r="K20" s="19">
        <f t="shared" si="4"/>
        <v>1</v>
      </c>
      <c r="L20" s="14"/>
      <c r="M20" s="20">
        <f t="shared" si="0"/>
        <v>13</v>
      </c>
      <c r="N20" s="19"/>
      <c r="O20" s="21">
        <f t="shared" si="1"/>
        <v>0</v>
      </c>
      <c r="AT20" s="34"/>
    </row>
    <row r="21" spans="1:46" ht="30" customHeight="1">
      <c r="A21" s="10">
        <f t="shared" si="2"/>
        <v>18</v>
      </c>
      <c r="B21" s="11">
        <v>1003240605466</v>
      </c>
      <c r="C21" s="12" t="s">
        <v>726</v>
      </c>
      <c r="D21" s="11" t="s">
        <v>712</v>
      </c>
      <c r="E21" s="11">
        <v>12</v>
      </c>
      <c r="F21" s="13" t="s">
        <v>708</v>
      </c>
      <c r="G21" s="14">
        <f t="shared" si="3"/>
        <v>45583</v>
      </c>
      <c r="H21" s="15"/>
      <c r="I21" s="14">
        <v>45582</v>
      </c>
      <c r="J21" s="14"/>
      <c r="K21" s="19">
        <f t="shared" si="4"/>
        <v>1</v>
      </c>
      <c r="L21" s="14"/>
      <c r="M21" s="20">
        <f t="shared" si="0"/>
        <v>12</v>
      </c>
      <c r="N21" s="19"/>
      <c r="O21" s="21">
        <f t="shared" si="1"/>
        <v>0</v>
      </c>
    </row>
    <row r="22" spans="1:46" ht="30" customHeight="1">
      <c r="A22" s="10">
        <f t="shared" si="2"/>
        <v>19</v>
      </c>
      <c r="B22" s="11">
        <v>1003240605473</v>
      </c>
      <c r="C22" s="12" t="s">
        <v>727</v>
      </c>
      <c r="D22" s="11" t="s">
        <v>712</v>
      </c>
      <c r="E22" s="11">
        <v>13</v>
      </c>
      <c r="F22" s="13" t="s">
        <v>708</v>
      </c>
      <c r="G22" s="14">
        <f t="shared" si="3"/>
        <v>45562</v>
      </c>
      <c r="H22" s="15"/>
      <c r="I22" s="14">
        <v>45561</v>
      </c>
      <c r="J22" s="14"/>
      <c r="K22" s="19">
        <f t="shared" si="4"/>
        <v>1</v>
      </c>
      <c r="L22" s="14"/>
      <c r="M22" s="20">
        <f t="shared" si="0"/>
        <v>13</v>
      </c>
      <c r="N22" s="19"/>
      <c r="O22" s="21">
        <f t="shared" si="1"/>
        <v>0</v>
      </c>
    </row>
    <row r="23" spans="1:46" ht="30" customHeight="1">
      <c r="A23" s="10">
        <f t="shared" si="2"/>
        <v>20</v>
      </c>
      <c r="B23" s="11">
        <v>1003240605481</v>
      </c>
      <c r="C23" s="12" t="s">
        <v>728</v>
      </c>
      <c r="D23" s="11" t="s">
        <v>712</v>
      </c>
      <c r="E23" s="11">
        <v>3</v>
      </c>
      <c r="F23" s="13" t="s">
        <v>708</v>
      </c>
      <c r="G23" s="14">
        <f t="shared" si="3"/>
        <v>45566</v>
      </c>
      <c r="H23" s="15"/>
      <c r="I23" s="14">
        <v>45565</v>
      </c>
      <c r="J23" s="14"/>
      <c r="K23" s="19">
        <f t="shared" si="4"/>
        <v>1</v>
      </c>
      <c r="L23" s="14"/>
      <c r="M23" s="20">
        <f t="shared" si="0"/>
        <v>3</v>
      </c>
      <c r="N23" s="19"/>
      <c r="O23" s="21">
        <f t="shared" si="1"/>
        <v>0</v>
      </c>
    </row>
    <row r="24" spans="1:46" ht="30" customHeight="1">
      <c r="A24" s="10">
        <f t="shared" si="2"/>
        <v>21</v>
      </c>
      <c r="B24" s="11">
        <v>1003240605483</v>
      </c>
      <c r="C24" s="12" t="s">
        <v>729</v>
      </c>
      <c r="D24" s="11" t="s">
        <v>712</v>
      </c>
      <c r="E24" s="11">
        <v>7</v>
      </c>
      <c r="F24" s="13" t="s">
        <v>708</v>
      </c>
      <c r="G24" s="14">
        <f t="shared" si="3"/>
        <v>45571</v>
      </c>
      <c r="H24" s="15"/>
      <c r="I24" s="14">
        <v>45570</v>
      </c>
      <c r="J24" s="14"/>
      <c r="K24" s="19">
        <f t="shared" si="4"/>
        <v>1</v>
      </c>
      <c r="L24" s="14"/>
      <c r="M24" s="20">
        <f t="shared" si="0"/>
        <v>7</v>
      </c>
      <c r="N24" s="19"/>
      <c r="O24" s="21">
        <f t="shared" si="1"/>
        <v>0</v>
      </c>
    </row>
    <row r="25" spans="1:46" ht="30" customHeight="1">
      <c r="A25" s="10">
        <f t="shared" si="2"/>
        <v>22</v>
      </c>
      <c r="B25" s="11">
        <v>1003240605490</v>
      </c>
      <c r="C25" s="12" t="s">
        <v>730</v>
      </c>
      <c r="D25" s="11" t="s">
        <v>712</v>
      </c>
      <c r="E25" s="11">
        <v>13</v>
      </c>
      <c r="F25" s="13" t="s">
        <v>708</v>
      </c>
      <c r="G25" s="14">
        <f t="shared" si="3"/>
        <v>45574</v>
      </c>
      <c r="H25" s="15"/>
      <c r="I25" s="14">
        <v>45573</v>
      </c>
      <c r="J25" s="14"/>
      <c r="K25" s="19">
        <f t="shared" si="4"/>
        <v>1</v>
      </c>
      <c r="L25" s="14"/>
      <c r="M25" s="20">
        <f t="shared" si="0"/>
        <v>13</v>
      </c>
      <c r="N25" s="19"/>
      <c r="O25" s="21">
        <f t="shared" si="1"/>
        <v>0</v>
      </c>
    </row>
    <row r="26" spans="1:46" ht="30" customHeight="1">
      <c r="A26" s="10">
        <f t="shared" si="2"/>
        <v>23</v>
      </c>
      <c r="B26" s="11">
        <v>1003240605492</v>
      </c>
      <c r="C26" s="12" t="s">
        <v>731</v>
      </c>
      <c r="D26" s="11" t="s">
        <v>712</v>
      </c>
      <c r="E26" s="11">
        <v>13</v>
      </c>
      <c r="F26" s="13" t="s">
        <v>708</v>
      </c>
      <c r="G26" s="14">
        <f t="shared" si="3"/>
        <v>45576</v>
      </c>
      <c r="H26" s="15"/>
      <c r="I26" s="14">
        <v>45575</v>
      </c>
      <c r="J26" s="14"/>
      <c r="K26" s="19">
        <f t="shared" si="4"/>
        <v>1</v>
      </c>
      <c r="L26" s="14"/>
      <c r="M26" s="20">
        <f t="shared" si="0"/>
        <v>13</v>
      </c>
      <c r="N26" s="19"/>
      <c r="O26" s="21">
        <f t="shared" si="1"/>
        <v>0</v>
      </c>
    </row>
    <row r="27" spans="1:46" ht="30" customHeight="1">
      <c r="A27" s="10">
        <f t="shared" si="2"/>
        <v>24</v>
      </c>
      <c r="B27" s="11">
        <v>1006200503324</v>
      </c>
      <c r="C27" s="12" t="s">
        <v>732</v>
      </c>
      <c r="D27" s="11" t="s">
        <v>707</v>
      </c>
      <c r="E27" s="11">
        <v>2</v>
      </c>
      <c r="F27" s="13" t="s">
        <v>708</v>
      </c>
      <c r="G27" s="14">
        <f t="shared" si="3"/>
        <v>45578</v>
      </c>
      <c r="H27" s="15"/>
      <c r="I27" s="14">
        <v>45577</v>
      </c>
      <c r="J27" s="14"/>
      <c r="K27" s="19">
        <f t="shared" si="4"/>
        <v>1</v>
      </c>
      <c r="L27" s="14"/>
      <c r="M27" s="20">
        <f t="shared" si="0"/>
        <v>2</v>
      </c>
      <c r="N27" s="19"/>
      <c r="O27" s="21">
        <f t="shared" si="1"/>
        <v>0</v>
      </c>
    </row>
    <row r="28" spans="1:46" ht="30" customHeight="1">
      <c r="A28" s="10">
        <f t="shared" si="2"/>
        <v>25</v>
      </c>
      <c r="B28" s="11">
        <v>1002240604805</v>
      </c>
      <c r="C28" s="12" t="s">
        <v>733</v>
      </c>
      <c r="D28" s="11" t="s">
        <v>707</v>
      </c>
      <c r="E28" s="11">
        <v>1</v>
      </c>
      <c r="F28" s="13" t="s">
        <v>708</v>
      </c>
      <c r="G28" s="14">
        <f t="shared" si="3"/>
        <v>45580</v>
      </c>
      <c r="H28" s="15"/>
      <c r="I28" s="14">
        <v>45579</v>
      </c>
      <c r="J28" s="14"/>
      <c r="K28" s="19">
        <f t="shared" si="4"/>
        <v>1</v>
      </c>
      <c r="L28" s="14"/>
      <c r="M28" s="20">
        <f t="shared" si="0"/>
        <v>1</v>
      </c>
      <c r="N28" s="19"/>
      <c r="O28" s="21">
        <f t="shared" si="1"/>
        <v>0</v>
      </c>
    </row>
    <row r="29" spans="1:46" ht="30" customHeight="1">
      <c r="A29" s="10">
        <f t="shared" si="2"/>
        <v>26</v>
      </c>
      <c r="B29" s="11">
        <v>1006240604483</v>
      </c>
      <c r="C29" s="12" t="s">
        <v>734</v>
      </c>
      <c r="D29" s="11" t="s">
        <v>712</v>
      </c>
      <c r="E29" s="11">
        <v>2</v>
      </c>
      <c r="F29" s="13" t="s">
        <v>708</v>
      </c>
      <c r="G29" s="14">
        <f t="shared" si="3"/>
        <v>45583</v>
      </c>
      <c r="H29" s="15"/>
      <c r="I29" s="14">
        <v>45582</v>
      </c>
      <c r="J29" s="14"/>
      <c r="K29" s="19">
        <f t="shared" si="4"/>
        <v>1</v>
      </c>
      <c r="L29" s="14"/>
      <c r="M29" s="20">
        <f t="shared" si="0"/>
        <v>2</v>
      </c>
      <c r="N29" s="19"/>
      <c r="O29" s="21">
        <f t="shared" si="1"/>
        <v>0</v>
      </c>
    </row>
    <row r="30" spans="1:46" ht="30" customHeight="1">
      <c r="A30" s="10">
        <f t="shared" si="2"/>
        <v>27</v>
      </c>
      <c r="B30" s="11">
        <v>1006240604485</v>
      </c>
      <c r="C30" s="12" t="s">
        <v>735</v>
      </c>
      <c r="D30" s="11" t="s">
        <v>712</v>
      </c>
      <c r="E30" s="11">
        <v>1</v>
      </c>
      <c r="F30" s="13" t="s">
        <v>708</v>
      </c>
      <c r="G30" s="14">
        <f t="shared" si="3"/>
        <v>45583</v>
      </c>
      <c r="H30" s="15"/>
      <c r="I30" s="22">
        <v>45582</v>
      </c>
      <c r="J30" s="22"/>
      <c r="K30" s="19">
        <f t="shared" si="4"/>
        <v>1</v>
      </c>
      <c r="L30" s="22"/>
      <c r="M30" s="20">
        <f t="shared" si="0"/>
        <v>1</v>
      </c>
      <c r="N30" s="20"/>
      <c r="O30" s="21">
        <f t="shared" si="1"/>
        <v>0</v>
      </c>
    </row>
    <row r="31" spans="1:46" ht="30" customHeight="1">
      <c r="A31" s="10">
        <f t="shared" si="2"/>
        <v>28</v>
      </c>
      <c r="B31" s="11">
        <v>1006240604495</v>
      </c>
      <c r="C31" s="12" t="s">
        <v>736</v>
      </c>
      <c r="D31" s="11" t="s">
        <v>712</v>
      </c>
      <c r="E31" s="11">
        <v>1</v>
      </c>
      <c r="F31" s="13" t="s">
        <v>708</v>
      </c>
      <c r="G31" s="14">
        <f t="shared" si="3"/>
        <v>45583</v>
      </c>
      <c r="H31" s="15"/>
      <c r="I31" s="22">
        <v>45582</v>
      </c>
      <c r="J31" s="22"/>
      <c r="K31" s="19">
        <f t="shared" si="4"/>
        <v>1</v>
      </c>
      <c r="L31" s="22"/>
      <c r="M31" s="20">
        <f t="shared" si="0"/>
        <v>1</v>
      </c>
      <c r="N31" s="20"/>
      <c r="O31" s="21">
        <f t="shared" si="1"/>
        <v>0</v>
      </c>
    </row>
    <row r="32" spans="1:46" ht="30" customHeight="1">
      <c r="A32" s="10">
        <f t="shared" si="2"/>
        <v>29</v>
      </c>
      <c r="B32" s="11">
        <v>1003221012366</v>
      </c>
      <c r="C32" s="12" t="s">
        <v>737</v>
      </c>
      <c r="D32" s="11" t="s">
        <v>712</v>
      </c>
      <c r="E32" s="11">
        <v>8</v>
      </c>
      <c r="F32" s="13" t="s">
        <v>708</v>
      </c>
      <c r="G32" s="14">
        <f t="shared" si="3"/>
        <v>45568</v>
      </c>
      <c r="H32" s="15"/>
      <c r="I32" s="22">
        <v>45567</v>
      </c>
      <c r="J32" s="22"/>
      <c r="K32" s="19">
        <f t="shared" si="4"/>
        <v>1</v>
      </c>
      <c r="L32" s="22"/>
      <c r="M32" s="20">
        <f t="shared" si="0"/>
        <v>8</v>
      </c>
      <c r="N32" s="20"/>
      <c r="O32" s="21">
        <f t="shared" si="1"/>
        <v>0</v>
      </c>
    </row>
    <row r="33" spans="1:15" ht="30" customHeight="1">
      <c r="A33" s="10">
        <f t="shared" si="2"/>
        <v>30</v>
      </c>
      <c r="B33" s="11">
        <v>1003221012376</v>
      </c>
      <c r="C33" s="12" t="s">
        <v>738</v>
      </c>
      <c r="D33" s="11" t="s">
        <v>712</v>
      </c>
      <c r="E33" s="11">
        <v>8</v>
      </c>
      <c r="F33" s="13" t="s">
        <v>708</v>
      </c>
      <c r="G33" s="14">
        <f t="shared" si="3"/>
        <v>45570</v>
      </c>
      <c r="H33" s="15"/>
      <c r="I33" s="22">
        <v>45569</v>
      </c>
      <c r="J33" s="22"/>
      <c r="K33" s="19">
        <f t="shared" si="4"/>
        <v>1</v>
      </c>
      <c r="L33" s="22"/>
      <c r="M33" s="20">
        <f t="shared" si="0"/>
        <v>8</v>
      </c>
      <c r="N33" s="20"/>
      <c r="O33" s="21">
        <f t="shared" si="1"/>
        <v>0</v>
      </c>
    </row>
    <row r="34" spans="1:15" ht="30" customHeight="1">
      <c r="A34" s="10">
        <f t="shared" si="2"/>
        <v>31</v>
      </c>
      <c r="B34" s="11">
        <v>1002240604806</v>
      </c>
      <c r="C34" s="12" t="s">
        <v>739</v>
      </c>
      <c r="D34" s="11" t="s">
        <v>712</v>
      </c>
      <c r="E34" s="11">
        <v>1</v>
      </c>
      <c r="F34" s="13" t="s">
        <v>708</v>
      </c>
      <c r="G34" s="14">
        <f t="shared" si="3"/>
        <v>45585</v>
      </c>
      <c r="H34" s="15"/>
      <c r="I34" s="22">
        <v>45584</v>
      </c>
      <c r="J34" s="22"/>
      <c r="K34" s="19">
        <f t="shared" si="4"/>
        <v>1</v>
      </c>
      <c r="L34" s="22"/>
      <c r="M34" s="20">
        <f t="shared" si="0"/>
        <v>1</v>
      </c>
      <c r="N34" s="20"/>
      <c r="O34" s="21">
        <f t="shared" si="1"/>
        <v>0</v>
      </c>
    </row>
    <row r="35" spans="1:15" ht="30" customHeight="1">
      <c r="A35" s="10">
        <f t="shared" si="2"/>
        <v>32</v>
      </c>
      <c r="B35" s="11">
        <v>1004240301273</v>
      </c>
      <c r="C35" s="12" t="s">
        <v>740</v>
      </c>
      <c r="D35" s="11" t="s">
        <v>712</v>
      </c>
      <c r="E35" s="11">
        <v>1</v>
      </c>
      <c r="F35" s="13" t="s">
        <v>708</v>
      </c>
      <c r="G35" s="14">
        <f t="shared" si="3"/>
        <v>45583</v>
      </c>
      <c r="H35" s="15"/>
      <c r="I35" s="22">
        <v>45582</v>
      </c>
      <c r="J35" s="22"/>
      <c r="K35" s="19">
        <f t="shared" si="4"/>
        <v>1</v>
      </c>
      <c r="L35" s="22"/>
      <c r="M35" s="20">
        <f t="shared" si="0"/>
        <v>1</v>
      </c>
      <c r="N35" s="20"/>
      <c r="O35" s="21">
        <f t="shared" si="1"/>
        <v>0</v>
      </c>
    </row>
    <row r="36" spans="1:15" ht="30" customHeight="1">
      <c r="A36" s="10">
        <f t="shared" si="2"/>
        <v>33</v>
      </c>
      <c r="B36" s="11">
        <v>1004240301659</v>
      </c>
      <c r="C36" s="12" t="s">
        <v>741</v>
      </c>
      <c r="D36" s="11" t="s">
        <v>742</v>
      </c>
      <c r="E36" s="11">
        <v>3.02</v>
      </c>
      <c r="F36" s="13" t="s">
        <v>708</v>
      </c>
      <c r="G36" s="14">
        <f t="shared" si="3"/>
        <v>45582</v>
      </c>
      <c r="H36" s="15"/>
      <c r="I36" s="22">
        <v>45581</v>
      </c>
      <c r="J36" s="22"/>
      <c r="K36" s="19">
        <f t="shared" si="4"/>
        <v>1</v>
      </c>
      <c r="L36" s="22"/>
      <c r="M36" s="20">
        <f t="shared" si="0"/>
        <v>3.02</v>
      </c>
      <c r="N36" s="20"/>
      <c r="O36" s="21">
        <f t="shared" si="1"/>
        <v>0</v>
      </c>
    </row>
    <row r="37" spans="1:15" ht="30" customHeight="1">
      <c r="A37" s="10">
        <f t="shared" si="2"/>
        <v>34</v>
      </c>
      <c r="B37" s="11">
        <v>1004240503562</v>
      </c>
      <c r="C37" s="12" t="s">
        <v>743</v>
      </c>
      <c r="D37" s="11" t="s">
        <v>712</v>
      </c>
      <c r="E37" s="11">
        <v>4</v>
      </c>
      <c r="F37" s="13" t="s">
        <v>708</v>
      </c>
      <c r="G37" s="14">
        <f t="shared" si="3"/>
        <v>45585</v>
      </c>
      <c r="H37" s="15"/>
      <c r="I37" s="22">
        <v>45584</v>
      </c>
      <c r="J37" s="22"/>
      <c r="K37" s="19">
        <f t="shared" si="4"/>
        <v>1</v>
      </c>
      <c r="L37" s="22"/>
      <c r="M37" s="20">
        <f t="shared" si="0"/>
        <v>4</v>
      </c>
      <c r="N37" s="20"/>
      <c r="O37" s="21">
        <f t="shared" si="1"/>
        <v>0</v>
      </c>
    </row>
    <row r="38" spans="1:15" ht="30" customHeight="1">
      <c r="A38" s="10">
        <f t="shared" si="2"/>
        <v>35</v>
      </c>
      <c r="B38" s="11">
        <v>1006240604676</v>
      </c>
      <c r="C38" s="12" t="s">
        <v>744</v>
      </c>
      <c r="D38" s="11" t="s">
        <v>712</v>
      </c>
      <c r="E38" s="11">
        <v>2</v>
      </c>
      <c r="F38" s="13" t="s">
        <v>708</v>
      </c>
      <c r="G38" s="14">
        <f t="shared" si="3"/>
        <v>45563</v>
      </c>
      <c r="H38" s="15"/>
      <c r="I38" s="22">
        <v>45562</v>
      </c>
      <c r="J38" s="22"/>
      <c r="K38" s="19">
        <f t="shared" si="4"/>
        <v>1</v>
      </c>
      <c r="L38" s="22"/>
      <c r="M38" s="20">
        <f t="shared" si="0"/>
        <v>2</v>
      </c>
      <c r="N38" s="20"/>
      <c r="O38" s="21">
        <f t="shared" si="1"/>
        <v>0</v>
      </c>
    </row>
    <row r="39" spans="1:15" ht="30" customHeight="1">
      <c r="A39" s="10">
        <f t="shared" si="2"/>
        <v>36</v>
      </c>
      <c r="B39" s="11">
        <v>1002220911910</v>
      </c>
      <c r="C39" s="12" t="s">
        <v>745</v>
      </c>
      <c r="D39" s="11" t="s">
        <v>712</v>
      </c>
      <c r="E39" s="11">
        <v>1</v>
      </c>
      <c r="F39" s="13" t="s">
        <v>708</v>
      </c>
      <c r="G39" s="14">
        <f t="shared" si="3"/>
        <v>45570</v>
      </c>
      <c r="H39" s="15"/>
      <c r="I39" s="22">
        <v>45569</v>
      </c>
      <c r="J39" s="22"/>
      <c r="K39" s="19">
        <f t="shared" si="4"/>
        <v>1</v>
      </c>
      <c r="L39" s="22"/>
      <c r="M39" s="20">
        <f t="shared" si="0"/>
        <v>1</v>
      </c>
      <c r="N39" s="20"/>
      <c r="O39" s="21">
        <f t="shared" si="1"/>
        <v>0</v>
      </c>
    </row>
    <row r="40" spans="1:15" ht="30" customHeight="1">
      <c r="A40" s="10">
        <f t="shared" si="2"/>
        <v>37</v>
      </c>
      <c r="B40" s="11">
        <v>1002240706781</v>
      </c>
      <c r="C40" s="12" t="s">
        <v>746</v>
      </c>
      <c r="D40" s="11" t="s">
        <v>707</v>
      </c>
      <c r="E40" s="11">
        <v>1</v>
      </c>
      <c r="F40" s="13" t="s">
        <v>708</v>
      </c>
      <c r="G40" s="14">
        <f t="shared" si="3"/>
        <v>45570</v>
      </c>
      <c r="H40" s="15"/>
      <c r="I40" s="22">
        <v>45569</v>
      </c>
      <c r="J40" s="22"/>
      <c r="K40" s="19">
        <f t="shared" si="4"/>
        <v>1</v>
      </c>
      <c r="L40" s="22"/>
      <c r="M40" s="20">
        <f t="shared" si="0"/>
        <v>1</v>
      </c>
      <c r="N40" s="20"/>
      <c r="O40" s="21">
        <f t="shared" si="1"/>
        <v>0</v>
      </c>
    </row>
    <row r="41" spans="1:15" ht="30" customHeight="1">
      <c r="A41" s="10">
        <f t="shared" si="2"/>
        <v>38</v>
      </c>
      <c r="B41" s="11">
        <v>1002240706783</v>
      </c>
      <c r="C41" s="12" t="s">
        <v>747</v>
      </c>
      <c r="D41" s="11" t="s">
        <v>707</v>
      </c>
      <c r="E41" s="11">
        <v>1</v>
      </c>
      <c r="F41" s="13" t="s">
        <v>708</v>
      </c>
      <c r="G41" s="14">
        <f t="shared" si="3"/>
        <v>45566</v>
      </c>
      <c r="H41" s="15"/>
      <c r="I41" s="22">
        <v>45565</v>
      </c>
      <c r="J41" s="22"/>
      <c r="K41" s="19">
        <f t="shared" si="4"/>
        <v>1</v>
      </c>
      <c r="L41" s="22"/>
      <c r="M41" s="20">
        <f t="shared" si="0"/>
        <v>1</v>
      </c>
      <c r="N41" s="20"/>
      <c r="O41" s="21">
        <f t="shared" si="1"/>
        <v>0</v>
      </c>
    </row>
    <row r="42" spans="1:15" ht="30" customHeight="1">
      <c r="A42" s="10">
        <f t="shared" si="2"/>
        <v>39</v>
      </c>
      <c r="B42" s="11">
        <v>1002240706785</v>
      </c>
      <c r="C42" s="12" t="s">
        <v>748</v>
      </c>
      <c r="D42" s="11" t="s">
        <v>707</v>
      </c>
      <c r="E42" s="11">
        <v>1</v>
      </c>
      <c r="F42" s="13" t="s">
        <v>708</v>
      </c>
      <c r="G42" s="14">
        <f t="shared" si="3"/>
        <v>45570</v>
      </c>
      <c r="H42" s="15"/>
      <c r="I42" s="22">
        <v>45569</v>
      </c>
      <c r="J42" s="22"/>
      <c r="K42" s="19">
        <f t="shared" si="4"/>
        <v>1</v>
      </c>
      <c r="L42" s="22"/>
      <c r="M42" s="20">
        <f t="shared" si="0"/>
        <v>1</v>
      </c>
      <c r="N42" s="20"/>
      <c r="O42" s="21">
        <f t="shared" si="1"/>
        <v>0</v>
      </c>
    </row>
    <row r="43" spans="1:15" ht="30" customHeight="1">
      <c r="A43" s="10">
        <f t="shared" si="2"/>
        <v>40</v>
      </c>
      <c r="B43" s="11">
        <v>1002240706787</v>
      </c>
      <c r="C43" s="12" t="s">
        <v>749</v>
      </c>
      <c r="D43" s="11" t="s">
        <v>707</v>
      </c>
      <c r="E43" s="11">
        <v>1</v>
      </c>
      <c r="F43" s="13" t="s">
        <v>708</v>
      </c>
      <c r="G43" s="14">
        <f t="shared" si="3"/>
        <v>45571</v>
      </c>
      <c r="H43" s="15"/>
      <c r="I43" s="22">
        <v>45570</v>
      </c>
      <c r="J43" s="22"/>
      <c r="K43" s="19">
        <f t="shared" si="4"/>
        <v>1</v>
      </c>
      <c r="L43" s="22"/>
      <c r="M43" s="20">
        <f t="shared" si="0"/>
        <v>1</v>
      </c>
      <c r="N43" s="20"/>
      <c r="O43" s="21">
        <f t="shared" si="1"/>
        <v>0</v>
      </c>
    </row>
    <row r="44" spans="1:15" ht="30" customHeight="1">
      <c r="A44" s="10">
        <f t="shared" si="2"/>
        <v>41</v>
      </c>
      <c r="B44" s="11">
        <v>1001240605040</v>
      </c>
      <c r="C44" s="12" t="s">
        <v>750</v>
      </c>
      <c r="D44" s="11" t="s">
        <v>712</v>
      </c>
      <c r="E44" s="11">
        <v>1</v>
      </c>
      <c r="F44" s="13" t="s">
        <v>708</v>
      </c>
      <c r="G44" s="14">
        <f t="shared" si="3"/>
        <v>45566</v>
      </c>
      <c r="H44" s="15"/>
      <c r="I44" s="22">
        <v>45565</v>
      </c>
      <c r="J44" s="22"/>
      <c r="K44" s="19">
        <f t="shared" si="4"/>
        <v>1</v>
      </c>
      <c r="L44" s="22"/>
      <c r="M44" s="20">
        <f t="shared" si="0"/>
        <v>1</v>
      </c>
      <c r="N44" s="20"/>
      <c r="O44" s="21">
        <f t="shared" si="1"/>
        <v>0</v>
      </c>
    </row>
    <row r="45" spans="1:15" ht="30" customHeight="1">
      <c r="A45" s="10">
        <f t="shared" si="2"/>
        <v>42</v>
      </c>
      <c r="B45" s="11">
        <v>1005240604678</v>
      </c>
      <c r="C45" s="12" t="s">
        <v>751</v>
      </c>
      <c r="D45" s="11" t="s">
        <v>712</v>
      </c>
      <c r="E45" s="11">
        <v>1</v>
      </c>
      <c r="F45" s="13" t="s">
        <v>708</v>
      </c>
      <c r="G45" s="14">
        <f t="shared" si="3"/>
        <v>45571</v>
      </c>
      <c r="H45" s="15"/>
      <c r="I45" s="22">
        <v>45570</v>
      </c>
      <c r="J45" s="22"/>
      <c r="K45" s="19">
        <f t="shared" si="4"/>
        <v>1</v>
      </c>
      <c r="L45" s="22"/>
      <c r="M45" s="20">
        <f t="shared" si="0"/>
        <v>1</v>
      </c>
      <c r="N45" s="20"/>
      <c r="O45" s="21">
        <f t="shared" si="1"/>
        <v>0</v>
      </c>
    </row>
    <row r="46" spans="1:15" ht="30" customHeight="1">
      <c r="A46" s="10">
        <f t="shared" si="2"/>
        <v>43</v>
      </c>
      <c r="B46" s="11">
        <v>1006240706715</v>
      </c>
      <c r="C46" s="12" t="s">
        <v>752</v>
      </c>
      <c r="D46" s="11" t="s">
        <v>712</v>
      </c>
      <c r="E46" s="11">
        <v>1</v>
      </c>
      <c r="F46" s="13" t="s">
        <v>708</v>
      </c>
      <c r="G46" s="14">
        <f t="shared" si="3"/>
        <v>45570</v>
      </c>
      <c r="H46" s="15"/>
      <c r="I46" s="22">
        <v>45569</v>
      </c>
      <c r="J46" s="22"/>
      <c r="K46" s="19">
        <f t="shared" si="4"/>
        <v>1</v>
      </c>
      <c r="L46" s="22"/>
      <c r="M46" s="20">
        <f t="shared" si="0"/>
        <v>1</v>
      </c>
      <c r="N46" s="20"/>
      <c r="O46" s="21">
        <f t="shared" si="1"/>
        <v>0</v>
      </c>
    </row>
    <row r="47" spans="1:15" ht="30" customHeight="1">
      <c r="A47" s="10">
        <f t="shared" si="2"/>
        <v>44</v>
      </c>
      <c r="B47" s="11">
        <v>1006240706711</v>
      </c>
      <c r="C47" s="12" t="s">
        <v>753</v>
      </c>
      <c r="D47" s="11" t="s">
        <v>707</v>
      </c>
      <c r="E47" s="11">
        <v>8</v>
      </c>
      <c r="F47" s="13" t="s">
        <v>708</v>
      </c>
      <c r="G47" s="14">
        <f t="shared" si="3"/>
        <v>45571</v>
      </c>
      <c r="H47" s="15"/>
      <c r="I47" s="22">
        <v>45570</v>
      </c>
      <c r="J47" s="22"/>
      <c r="K47" s="19">
        <f t="shared" si="4"/>
        <v>1</v>
      </c>
      <c r="L47" s="22"/>
      <c r="M47" s="20">
        <f t="shared" si="0"/>
        <v>8</v>
      </c>
      <c r="N47" s="20"/>
      <c r="O47" s="21">
        <f t="shared" si="1"/>
        <v>0</v>
      </c>
    </row>
    <row r="48" spans="1:15" ht="30" customHeight="1">
      <c r="A48" s="10">
        <f t="shared" si="2"/>
        <v>45</v>
      </c>
      <c r="B48" s="11">
        <v>1006240706717</v>
      </c>
      <c r="C48" s="12" t="s">
        <v>754</v>
      </c>
      <c r="D48" s="11" t="s">
        <v>707</v>
      </c>
      <c r="E48" s="11">
        <v>1</v>
      </c>
      <c r="F48" s="13" t="s">
        <v>708</v>
      </c>
      <c r="G48" s="14">
        <f t="shared" si="3"/>
        <v>45566</v>
      </c>
      <c r="H48" s="15"/>
      <c r="I48" s="22">
        <v>45565</v>
      </c>
      <c r="J48" s="22"/>
      <c r="K48" s="19">
        <f t="shared" si="4"/>
        <v>1</v>
      </c>
      <c r="L48" s="22"/>
      <c r="M48" s="20">
        <f t="shared" si="0"/>
        <v>1</v>
      </c>
      <c r="N48" s="20"/>
      <c r="O48" s="21">
        <f t="shared" si="1"/>
        <v>0</v>
      </c>
    </row>
    <row r="49" spans="1:15" ht="30" customHeight="1">
      <c r="A49" s="10">
        <f t="shared" si="2"/>
        <v>46</v>
      </c>
      <c r="B49" s="11">
        <v>1006240706719</v>
      </c>
      <c r="C49" s="12" t="s">
        <v>755</v>
      </c>
      <c r="D49" s="11" t="s">
        <v>707</v>
      </c>
      <c r="E49" s="11">
        <v>9</v>
      </c>
      <c r="F49" s="13" t="s">
        <v>708</v>
      </c>
      <c r="G49" s="14">
        <f t="shared" si="3"/>
        <v>45584</v>
      </c>
      <c r="H49" s="15"/>
      <c r="I49" s="22">
        <v>45583</v>
      </c>
      <c r="J49" s="22"/>
      <c r="K49" s="19">
        <f t="shared" si="4"/>
        <v>1</v>
      </c>
      <c r="L49" s="22"/>
      <c r="M49" s="20">
        <f t="shared" si="0"/>
        <v>9</v>
      </c>
      <c r="N49" s="20"/>
      <c r="O49" s="21">
        <f t="shared" si="1"/>
        <v>0</v>
      </c>
    </row>
    <row r="50" spans="1:15" ht="30" customHeight="1">
      <c r="A50" s="10">
        <f t="shared" si="2"/>
        <v>47</v>
      </c>
      <c r="B50" s="11">
        <v>1006240706718</v>
      </c>
      <c r="C50" s="12" t="s">
        <v>756</v>
      </c>
      <c r="D50" s="11" t="s">
        <v>707</v>
      </c>
      <c r="E50" s="11">
        <v>5</v>
      </c>
      <c r="F50" s="13" t="s">
        <v>708</v>
      </c>
      <c r="G50" s="14">
        <f t="shared" si="3"/>
        <v>45571</v>
      </c>
      <c r="H50" s="15"/>
      <c r="I50" s="22">
        <v>45570</v>
      </c>
      <c r="J50" s="22"/>
      <c r="K50" s="19">
        <f t="shared" si="4"/>
        <v>1</v>
      </c>
      <c r="L50" s="22"/>
      <c r="M50" s="20">
        <f t="shared" si="0"/>
        <v>5</v>
      </c>
      <c r="N50" s="20"/>
      <c r="O50" s="21">
        <f t="shared" si="1"/>
        <v>0</v>
      </c>
    </row>
    <row r="51" spans="1:15" ht="30" customHeight="1">
      <c r="A51" s="10">
        <f t="shared" si="2"/>
        <v>48</v>
      </c>
      <c r="B51" s="11">
        <v>1004240605076</v>
      </c>
      <c r="C51" s="12" t="s">
        <v>757</v>
      </c>
      <c r="D51" s="11" t="s">
        <v>712</v>
      </c>
      <c r="E51" s="11">
        <v>1</v>
      </c>
      <c r="F51" s="13" t="s">
        <v>708</v>
      </c>
      <c r="G51" s="14">
        <f t="shared" si="3"/>
        <v>45570</v>
      </c>
      <c r="H51" s="15"/>
      <c r="I51" s="22">
        <v>45569</v>
      </c>
      <c r="J51" s="22"/>
      <c r="K51" s="19">
        <f t="shared" si="4"/>
        <v>1</v>
      </c>
      <c r="L51" s="22"/>
      <c r="M51" s="20">
        <f t="shared" si="0"/>
        <v>1</v>
      </c>
      <c r="N51" s="20"/>
      <c r="O51" s="21">
        <f t="shared" si="1"/>
        <v>0</v>
      </c>
    </row>
    <row r="52" spans="1:15" ht="30" customHeight="1">
      <c r="A52" s="10">
        <f t="shared" si="2"/>
        <v>49</v>
      </c>
      <c r="B52" s="11">
        <v>1004240605077</v>
      </c>
      <c r="C52" s="12" t="s">
        <v>758</v>
      </c>
      <c r="D52" s="11" t="s">
        <v>712</v>
      </c>
      <c r="E52" s="11">
        <v>1</v>
      </c>
      <c r="F52" s="13" t="s">
        <v>708</v>
      </c>
      <c r="G52" s="14">
        <f t="shared" si="3"/>
        <v>45570</v>
      </c>
      <c r="H52" s="15"/>
      <c r="I52" s="22">
        <v>45569</v>
      </c>
      <c r="J52" s="22"/>
      <c r="K52" s="19">
        <f t="shared" si="4"/>
        <v>1</v>
      </c>
      <c r="L52" s="22"/>
      <c r="M52" s="20">
        <f t="shared" si="0"/>
        <v>1</v>
      </c>
      <c r="N52" s="20"/>
      <c r="O52" s="21">
        <f t="shared" si="1"/>
        <v>0</v>
      </c>
    </row>
    <row r="53" spans="1:15" ht="30" customHeight="1">
      <c r="A53" s="10">
        <f t="shared" si="2"/>
        <v>50</v>
      </c>
      <c r="B53" s="11">
        <v>1002240706782</v>
      </c>
      <c r="C53" s="12" t="s">
        <v>759</v>
      </c>
      <c r="D53" s="11" t="s">
        <v>707</v>
      </c>
      <c r="E53" s="11">
        <v>1</v>
      </c>
      <c r="F53" s="13" t="s">
        <v>708</v>
      </c>
      <c r="G53" s="14">
        <f t="shared" si="3"/>
        <v>45571</v>
      </c>
      <c r="H53" s="15"/>
      <c r="I53" s="22">
        <v>45570</v>
      </c>
      <c r="J53" s="22"/>
      <c r="K53" s="19">
        <f t="shared" si="4"/>
        <v>1</v>
      </c>
      <c r="L53" s="22"/>
      <c r="M53" s="20">
        <f t="shared" si="0"/>
        <v>1</v>
      </c>
      <c r="N53" s="20"/>
      <c r="O53" s="21">
        <f t="shared" si="1"/>
        <v>0</v>
      </c>
    </row>
    <row r="54" spans="1:15" ht="30" customHeight="1">
      <c r="A54" s="10">
        <f t="shared" si="2"/>
        <v>51</v>
      </c>
      <c r="B54" s="11">
        <v>1002240706786</v>
      </c>
      <c r="C54" s="12" t="s">
        <v>760</v>
      </c>
      <c r="D54" s="11" t="s">
        <v>707</v>
      </c>
      <c r="E54" s="11">
        <v>1</v>
      </c>
      <c r="F54" s="13" t="s">
        <v>708</v>
      </c>
      <c r="G54" s="14">
        <f t="shared" si="3"/>
        <v>45581</v>
      </c>
      <c r="H54" s="15"/>
      <c r="I54" s="22">
        <v>45580</v>
      </c>
      <c r="J54" s="22"/>
      <c r="K54" s="19">
        <f t="shared" si="4"/>
        <v>1</v>
      </c>
      <c r="L54" s="22"/>
      <c r="M54" s="20">
        <f t="shared" si="0"/>
        <v>1</v>
      </c>
      <c r="N54" s="20"/>
      <c r="O54" s="21">
        <f t="shared" si="1"/>
        <v>0</v>
      </c>
    </row>
    <row r="55" spans="1:15" ht="30" customHeight="1">
      <c r="A55" s="10">
        <f t="shared" si="2"/>
        <v>52</v>
      </c>
      <c r="B55" s="11">
        <v>1002240706788</v>
      </c>
      <c r="C55" s="12" t="s">
        <v>761</v>
      </c>
      <c r="D55" s="11" t="s">
        <v>707</v>
      </c>
      <c r="E55" s="11">
        <v>1</v>
      </c>
      <c r="F55" s="13" t="s">
        <v>708</v>
      </c>
      <c r="G55" s="14">
        <f t="shared" si="3"/>
        <v>45584</v>
      </c>
      <c r="H55" s="15"/>
      <c r="I55" s="22">
        <v>45583</v>
      </c>
      <c r="J55" s="22"/>
      <c r="K55" s="19">
        <f t="shared" si="4"/>
        <v>1</v>
      </c>
      <c r="L55" s="22"/>
      <c r="M55" s="20">
        <f t="shared" si="0"/>
        <v>1</v>
      </c>
      <c r="N55" s="20"/>
      <c r="O55" s="21">
        <f t="shared" si="1"/>
        <v>0</v>
      </c>
    </row>
    <row r="56" spans="1:15" ht="30" customHeight="1">
      <c r="A56" s="10">
        <f t="shared" si="2"/>
        <v>53</v>
      </c>
      <c r="B56" s="11">
        <v>1004240604781</v>
      </c>
      <c r="C56" s="12" t="s">
        <v>762</v>
      </c>
      <c r="D56" s="11" t="s">
        <v>712</v>
      </c>
      <c r="E56" s="11">
        <v>1</v>
      </c>
      <c r="F56" s="13" t="s">
        <v>708</v>
      </c>
      <c r="G56" s="14">
        <f t="shared" si="3"/>
        <v>45583</v>
      </c>
      <c r="H56" s="15"/>
      <c r="I56" s="22">
        <v>45582</v>
      </c>
      <c r="J56" s="22"/>
      <c r="K56" s="19">
        <f t="shared" si="4"/>
        <v>1</v>
      </c>
      <c r="L56" s="22"/>
      <c r="M56" s="20">
        <f t="shared" si="0"/>
        <v>1</v>
      </c>
      <c r="N56" s="20"/>
      <c r="O56" s="21">
        <f t="shared" si="1"/>
        <v>0</v>
      </c>
    </row>
    <row r="57" spans="1:15" ht="30" customHeight="1">
      <c r="A57" s="10">
        <f t="shared" si="2"/>
        <v>54</v>
      </c>
      <c r="B57" s="11">
        <v>1004240604794</v>
      </c>
      <c r="C57" s="12" t="s">
        <v>763</v>
      </c>
      <c r="D57" s="11" t="s">
        <v>712</v>
      </c>
      <c r="E57" s="11">
        <v>1</v>
      </c>
      <c r="F57" s="13" t="s">
        <v>708</v>
      </c>
      <c r="G57" s="14">
        <f t="shared" si="3"/>
        <v>45566</v>
      </c>
      <c r="H57" s="15"/>
      <c r="I57" s="22">
        <v>45565</v>
      </c>
      <c r="J57" s="22"/>
      <c r="K57" s="19">
        <f t="shared" si="4"/>
        <v>1</v>
      </c>
      <c r="L57" s="22"/>
      <c r="M57" s="20">
        <f t="shared" si="0"/>
        <v>1</v>
      </c>
      <c r="N57" s="20"/>
      <c r="O57" s="21">
        <f t="shared" si="1"/>
        <v>0</v>
      </c>
    </row>
    <row r="58" spans="1:15" ht="30" customHeight="1">
      <c r="A58" s="10">
        <f t="shared" si="2"/>
        <v>55</v>
      </c>
      <c r="B58" s="11">
        <v>1012211111508</v>
      </c>
      <c r="C58" s="12" t="s">
        <v>764</v>
      </c>
      <c r="D58" s="11" t="s">
        <v>712</v>
      </c>
      <c r="E58" s="11">
        <v>1</v>
      </c>
      <c r="F58" s="13" t="s">
        <v>708</v>
      </c>
      <c r="G58" s="14">
        <f t="shared" si="3"/>
        <v>45581</v>
      </c>
      <c r="H58" s="15"/>
      <c r="I58" s="22">
        <v>45580</v>
      </c>
      <c r="J58" s="22"/>
      <c r="K58" s="19">
        <f t="shared" si="4"/>
        <v>1</v>
      </c>
      <c r="L58" s="22"/>
      <c r="M58" s="20">
        <f t="shared" si="0"/>
        <v>1</v>
      </c>
      <c r="N58" s="20"/>
      <c r="O58" s="21">
        <f t="shared" si="1"/>
        <v>0</v>
      </c>
    </row>
    <row r="59" spans="1:15" ht="30" customHeight="1">
      <c r="A59" s="10">
        <f t="shared" si="2"/>
        <v>56</v>
      </c>
      <c r="B59" s="11">
        <v>1007240708276</v>
      </c>
      <c r="C59" s="12" t="s">
        <v>765</v>
      </c>
      <c r="D59" s="11" t="s">
        <v>766</v>
      </c>
      <c r="E59" s="11">
        <v>16.7</v>
      </c>
      <c r="F59" s="13" t="s">
        <v>708</v>
      </c>
      <c r="G59" s="14">
        <f t="shared" si="3"/>
        <v>45581</v>
      </c>
      <c r="H59" s="15"/>
      <c r="I59" s="22">
        <v>45580</v>
      </c>
      <c r="J59" s="22"/>
      <c r="K59" s="19">
        <f t="shared" si="4"/>
        <v>1</v>
      </c>
      <c r="L59" s="22"/>
      <c r="M59" s="20">
        <f t="shared" si="0"/>
        <v>16.7</v>
      </c>
      <c r="N59" s="20"/>
      <c r="O59" s="21">
        <f t="shared" si="1"/>
        <v>0</v>
      </c>
    </row>
    <row r="60" spans="1:15" ht="30" customHeight="1">
      <c r="A60" s="10">
        <f t="shared" si="2"/>
        <v>57</v>
      </c>
      <c r="B60" s="11">
        <v>1007240708308</v>
      </c>
      <c r="C60" s="12" t="s">
        <v>767</v>
      </c>
      <c r="D60" s="11" t="s">
        <v>712</v>
      </c>
      <c r="E60" s="11">
        <v>1</v>
      </c>
      <c r="F60" s="13" t="s">
        <v>708</v>
      </c>
      <c r="G60" s="14">
        <f t="shared" si="3"/>
        <v>45580</v>
      </c>
      <c r="H60" s="15"/>
      <c r="I60" s="22">
        <v>45579</v>
      </c>
      <c r="J60" s="22"/>
      <c r="K60" s="19">
        <f t="shared" si="4"/>
        <v>1</v>
      </c>
      <c r="L60" s="22"/>
      <c r="M60" s="20">
        <f t="shared" si="0"/>
        <v>1</v>
      </c>
      <c r="N60" s="20"/>
      <c r="O60" s="21">
        <f t="shared" si="1"/>
        <v>0</v>
      </c>
    </row>
    <row r="61" spans="1:15" ht="30" customHeight="1">
      <c r="A61" s="10">
        <f t="shared" si="2"/>
        <v>58</v>
      </c>
      <c r="B61" s="11">
        <v>1007240708311</v>
      </c>
      <c r="C61" s="12" t="s">
        <v>768</v>
      </c>
      <c r="D61" s="11" t="s">
        <v>712</v>
      </c>
      <c r="E61" s="11">
        <v>1</v>
      </c>
      <c r="F61" s="13" t="s">
        <v>708</v>
      </c>
      <c r="G61" s="14">
        <f t="shared" si="3"/>
        <v>45580</v>
      </c>
      <c r="H61" s="15"/>
      <c r="I61" s="22">
        <v>45579</v>
      </c>
      <c r="J61" s="22"/>
      <c r="K61" s="19">
        <f t="shared" si="4"/>
        <v>1</v>
      </c>
      <c r="L61" s="22"/>
      <c r="M61" s="20">
        <f t="shared" si="0"/>
        <v>1</v>
      </c>
      <c r="N61" s="20"/>
      <c r="O61" s="21">
        <f t="shared" si="1"/>
        <v>0</v>
      </c>
    </row>
    <row r="62" spans="1:15" ht="30" customHeight="1">
      <c r="A62" s="10">
        <f t="shared" si="2"/>
        <v>59</v>
      </c>
      <c r="B62" s="11">
        <v>1007240708317</v>
      </c>
      <c r="C62" s="12" t="s">
        <v>769</v>
      </c>
      <c r="D62" s="11" t="s">
        <v>712</v>
      </c>
      <c r="E62" s="11">
        <v>1</v>
      </c>
      <c r="F62" s="13" t="s">
        <v>708</v>
      </c>
      <c r="G62" s="14">
        <f t="shared" si="3"/>
        <v>45581</v>
      </c>
      <c r="H62" s="15"/>
      <c r="I62" s="22">
        <v>45580</v>
      </c>
      <c r="J62" s="22"/>
      <c r="K62" s="19">
        <f t="shared" si="4"/>
        <v>1</v>
      </c>
      <c r="L62" s="22"/>
      <c r="M62" s="20">
        <f t="shared" si="0"/>
        <v>1</v>
      </c>
      <c r="N62" s="20"/>
      <c r="O62" s="21">
        <f t="shared" si="1"/>
        <v>0</v>
      </c>
    </row>
    <row r="63" spans="1:15" ht="30" customHeight="1">
      <c r="A63" s="10">
        <f t="shared" si="2"/>
        <v>60</v>
      </c>
      <c r="B63" s="11">
        <v>1007240708319</v>
      </c>
      <c r="C63" s="12" t="s">
        <v>770</v>
      </c>
      <c r="D63" s="11" t="s">
        <v>712</v>
      </c>
      <c r="E63" s="11">
        <v>1</v>
      </c>
      <c r="F63" s="13" t="s">
        <v>708</v>
      </c>
      <c r="G63" s="14">
        <f t="shared" si="3"/>
        <v>45580</v>
      </c>
      <c r="H63" s="15"/>
      <c r="I63" s="22">
        <v>45579</v>
      </c>
      <c r="J63" s="22"/>
      <c r="K63" s="19">
        <f t="shared" si="4"/>
        <v>1</v>
      </c>
      <c r="L63" s="22"/>
      <c r="M63" s="20">
        <f t="shared" si="0"/>
        <v>1</v>
      </c>
      <c r="N63" s="20"/>
      <c r="O63" s="21">
        <f t="shared" si="1"/>
        <v>0</v>
      </c>
    </row>
    <row r="64" spans="1:15" ht="30" customHeight="1">
      <c r="A64" s="10">
        <f t="shared" si="2"/>
        <v>61</v>
      </c>
      <c r="B64" s="11">
        <v>1007240708320</v>
      </c>
      <c r="C64" s="12" t="s">
        <v>771</v>
      </c>
      <c r="D64" s="11" t="s">
        <v>712</v>
      </c>
      <c r="E64" s="11">
        <v>3</v>
      </c>
      <c r="F64" s="13" t="s">
        <v>708</v>
      </c>
      <c r="G64" s="14">
        <f t="shared" si="3"/>
        <v>45571</v>
      </c>
      <c r="H64" s="15"/>
      <c r="I64" s="22">
        <v>45570</v>
      </c>
      <c r="J64" s="22"/>
      <c r="K64" s="19">
        <f t="shared" si="4"/>
        <v>1</v>
      </c>
      <c r="L64" s="22"/>
      <c r="M64" s="20">
        <f t="shared" si="0"/>
        <v>3</v>
      </c>
      <c r="N64" s="20"/>
      <c r="O64" s="21">
        <f t="shared" si="1"/>
        <v>0</v>
      </c>
    </row>
    <row r="65" spans="1:15" ht="30" customHeight="1">
      <c r="A65" s="10">
        <f t="shared" si="2"/>
        <v>62</v>
      </c>
      <c r="B65" s="11">
        <v>1007240808955</v>
      </c>
      <c r="C65" s="12" t="s">
        <v>772</v>
      </c>
      <c r="D65" s="11" t="s">
        <v>766</v>
      </c>
      <c r="E65" s="11">
        <v>2.14</v>
      </c>
      <c r="F65" s="13" t="s">
        <v>708</v>
      </c>
      <c r="G65" s="14">
        <f t="shared" si="3"/>
        <v>45570</v>
      </c>
      <c r="H65" s="15"/>
      <c r="I65" s="22">
        <v>45569</v>
      </c>
      <c r="J65" s="22"/>
      <c r="K65" s="19">
        <f t="shared" si="4"/>
        <v>1</v>
      </c>
      <c r="L65" s="22"/>
      <c r="M65" s="20">
        <f t="shared" si="0"/>
        <v>2.14</v>
      </c>
      <c r="N65" s="20"/>
      <c r="O65" s="21">
        <f t="shared" si="1"/>
        <v>0</v>
      </c>
    </row>
    <row r="66" spans="1:15" ht="30" customHeight="1">
      <c r="A66" s="10">
        <f t="shared" si="2"/>
        <v>63</v>
      </c>
      <c r="B66" s="11">
        <v>1007240808962</v>
      </c>
      <c r="C66" s="12" t="s">
        <v>773</v>
      </c>
      <c r="D66" s="11" t="s">
        <v>712</v>
      </c>
      <c r="E66" s="11">
        <v>1</v>
      </c>
      <c r="F66" s="13" t="s">
        <v>708</v>
      </c>
      <c r="G66" s="14">
        <f t="shared" si="3"/>
        <v>45581</v>
      </c>
      <c r="H66" s="15"/>
      <c r="I66" s="22">
        <v>45580</v>
      </c>
      <c r="J66" s="22"/>
      <c r="K66" s="19">
        <f t="shared" si="4"/>
        <v>1</v>
      </c>
      <c r="L66" s="22"/>
      <c r="M66" s="20">
        <f t="shared" si="0"/>
        <v>1</v>
      </c>
      <c r="N66" s="20"/>
      <c r="O66" s="21">
        <f t="shared" si="1"/>
        <v>0</v>
      </c>
    </row>
    <row r="67" spans="1:15" ht="30" customHeight="1">
      <c r="A67" s="10">
        <f t="shared" si="2"/>
        <v>64</v>
      </c>
      <c r="B67" s="11">
        <v>1007240808963</v>
      </c>
      <c r="C67" s="12" t="s">
        <v>774</v>
      </c>
      <c r="D67" s="11" t="s">
        <v>712</v>
      </c>
      <c r="E67" s="11">
        <v>1</v>
      </c>
      <c r="F67" s="13" t="s">
        <v>708</v>
      </c>
      <c r="G67" s="14">
        <f t="shared" si="3"/>
        <v>45576</v>
      </c>
      <c r="H67" s="15"/>
      <c r="I67" s="22">
        <v>45575</v>
      </c>
      <c r="J67" s="22"/>
      <c r="K67" s="19">
        <f t="shared" si="4"/>
        <v>1</v>
      </c>
      <c r="L67" s="22"/>
      <c r="M67" s="20">
        <f t="shared" si="0"/>
        <v>1</v>
      </c>
      <c r="N67" s="20"/>
      <c r="O67" s="21">
        <f t="shared" si="1"/>
        <v>0</v>
      </c>
    </row>
    <row r="68" spans="1:15" ht="30" customHeight="1">
      <c r="A68" s="10">
        <f t="shared" si="2"/>
        <v>65</v>
      </c>
      <c r="B68" s="11">
        <v>1007240809530</v>
      </c>
      <c r="C68" s="12" t="s">
        <v>775</v>
      </c>
      <c r="D68" s="11" t="s">
        <v>766</v>
      </c>
      <c r="E68" s="11">
        <v>1.86</v>
      </c>
      <c r="F68" s="13" t="s">
        <v>708</v>
      </c>
      <c r="G68" s="14">
        <f t="shared" si="3"/>
        <v>45576</v>
      </c>
      <c r="H68" s="15"/>
      <c r="I68" s="22">
        <v>45575</v>
      </c>
      <c r="J68" s="22"/>
      <c r="K68" s="19">
        <f t="shared" si="4"/>
        <v>1</v>
      </c>
      <c r="L68" s="22"/>
      <c r="M68" s="20">
        <f t="shared" si="0"/>
        <v>1.86</v>
      </c>
      <c r="N68" s="20"/>
      <c r="O68" s="21">
        <f t="shared" si="1"/>
        <v>0</v>
      </c>
    </row>
    <row r="69" spans="1:15" ht="30" customHeight="1">
      <c r="A69" s="10">
        <f t="shared" si="2"/>
        <v>66</v>
      </c>
      <c r="B69" s="11">
        <v>1007240809548</v>
      </c>
      <c r="C69" s="12" t="s">
        <v>776</v>
      </c>
      <c r="D69" s="11" t="s">
        <v>712</v>
      </c>
      <c r="E69" s="11">
        <v>1</v>
      </c>
      <c r="F69" s="13" t="s">
        <v>708</v>
      </c>
      <c r="G69" s="14">
        <f t="shared" si="3"/>
        <v>45576</v>
      </c>
      <c r="H69" s="15"/>
      <c r="I69" s="22">
        <v>45575</v>
      </c>
      <c r="J69" s="22"/>
      <c r="K69" s="19">
        <f t="shared" si="4"/>
        <v>1</v>
      </c>
      <c r="L69" s="22"/>
      <c r="M69" s="20">
        <f t="shared" ref="M69:M132" si="5">+E69</f>
        <v>1</v>
      </c>
      <c r="N69" s="20"/>
      <c r="O69" s="21">
        <f t="shared" ref="O69:O132" si="6">IFERROR(N69/M69,"")</f>
        <v>0</v>
      </c>
    </row>
    <row r="70" spans="1:15" ht="30" customHeight="1">
      <c r="A70" s="10">
        <f t="shared" ref="A70:A133" si="7">+A69+1</f>
        <v>67</v>
      </c>
      <c r="B70" s="11">
        <v>1006230200788</v>
      </c>
      <c r="C70" s="12" t="s">
        <v>777</v>
      </c>
      <c r="D70" s="11" t="s">
        <v>707</v>
      </c>
      <c r="E70" s="11">
        <v>2</v>
      </c>
      <c r="F70" s="13" t="s">
        <v>708</v>
      </c>
      <c r="G70" s="14">
        <f t="shared" ref="G70:G133" si="8">+I70-H70+1</f>
        <v>45576</v>
      </c>
      <c r="H70" s="15"/>
      <c r="I70" s="22">
        <v>45575</v>
      </c>
      <c r="J70" s="22"/>
      <c r="K70" s="19">
        <f t="shared" ref="K70:K133" si="9">+L70-J70+1</f>
        <v>1</v>
      </c>
      <c r="L70" s="22"/>
      <c r="M70" s="20">
        <f t="shared" si="5"/>
        <v>2</v>
      </c>
      <c r="N70" s="20"/>
      <c r="O70" s="21">
        <f t="shared" si="6"/>
        <v>0</v>
      </c>
    </row>
    <row r="71" spans="1:15" ht="30" customHeight="1">
      <c r="A71" s="10">
        <f t="shared" si="7"/>
        <v>68</v>
      </c>
      <c r="B71" s="11">
        <v>1006240808967</v>
      </c>
      <c r="C71" s="12" t="s">
        <v>778</v>
      </c>
      <c r="D71" s="11" t="s">
        <v>712</v>
      </c>
      <c r="E71" s="11">
        <v>1</v>
      </c>
      <c r="F71" s="13" t="s">
        <v>708</v>
      </c>
      <c r="G71" s="14">
        <f t="shared" si="8"/>
        <v>45576</v>
      </c>
      <c r="H71" s="15"/>
      <c r="I71" s="22">
        <v>45575</v>
      </c>
      <c r="J71" s="22"/>
      <c r="K71" s="19">
        <f t="shared" si="9"/>
        <v>1</v>
      </c>
      <c r="L71" s="22"/>
      <c r="M71" s="20">
        <f t="shared" si="5"/>
        <v>1</v>
      </c>
      <c r="N71" s="20"/>
      <c r="O71" s="21">
        <f t="shared" si="6"/>
        <v>0</v>
      </c>
    </row>
    <row r="72" spans="1:15" ht="30" customHeight="1">
      <c r="A72" s="10">
        <f t="shared" si="7"/>
        <v>69</v>
      </c>
      <c r="B72" s="11">
        <v>1006240808966</v>
      </c>
      <c r="C72" s="12" t="s">
        <v>779</v>
      </c>
      <c r="D72" s="11" t="s">
        <v>712</v>
      </c>
      <c r="E72" s="11">
        <v>2</v>
      </c>
      <c r="F72" s="13" t="s">
        <v>708</v>
      </c>
      <c r="G72" s="14">
        <f t="shared" si="8"/>
        <v>45576</v>
      </c>
      <c r="H72" s="15"/>
      <c r="I72" s="22">
        <v>45575</v>
      </c>
      <c r="J72" s="22"/>
      <c r="K72" s="19">
        <f t="shared" si="9"/>
        <v>1</v>
      </c>
      <c r="L72" s="22"/>
      <c r="M72" s="20">
        <f t="shared" si="5"/>
        <v>2</v>
      </c>
      <c r="N72" s="20"/>
      <c r="O72" s="21">
        <f t="shared" si="6"/>
        <v>0</v>
      </c>
    </row>
    <row r="73" spans="1:15" ht="30" customHeight="1">
      <c r="A73" s="10">
        <f t="shared" si="7"/>
        <v>70</v>
      </c>
      <c r="B73" s="11">
        <v>1006240604607</v>
      </c>
      <c r="C73" s="12" t="s">
        <v>780</v>
      </c>
      <c r="D73" s="11" t="s">
        <v>707</v>
      </c>
      <c r="E73" s="11">
        <v>1</v>
      </c>
      <c r="F73" s="13" t="s">
        <v>708</v>
      </c>
      <c r="G73" s="14">
        <f t="shared" si="8"/>
        <v>45576</v>
      </c>
      <c r="H73" s="15"/>
      <c r="I73" s="22">
        <v>45575</v>
      </c>
      <c r="J73" s="22"/>
      <c r="K73" s="19">
        <f t="shared" si="9"/>
        <v>1</v>
      </c>
      <c r="L73" s="22"/>
      <c r="M73" s="20">
        <f t="shared" si="5"/>
        <v>1</v>
      </c>
      <c r="N73" s="20"/>
      <c r="O73" s="21">
        <f t="shared" si="6"/>
        <v>0</v>
      </c>
    </row>
    <row r="74" spans="1:15" ht="30" customHeight="1">
      <c r="A74" s="10">
        <f t="shared" si="7"/>
        <v>71</v>
      </c>
      <c r="B74" s="11">
        <v>1006240604598</v>
      </c>
      <c r="C74" s="12" t="s">
        <v>781</v>
      </c>
      <c r="D74" s="11" t="s">
        <v>707</v>
      </c>
      <c r="E74" s="11">
        <v>1</v>
      </c>
      <c r="F74" s="13" t="s">
        <v>708</v>
      </c>
      <c r="G74" s="14">
        <f t="shared" si="8"/>
        <v>45584</v>
      </c>
      <c r="H74" s="15"/>
      <c r="I74" s="22">
        <v>45583</v>
      </c>
      <c r="J74" s="22"/>
      <c r="K74" s="19">
        <f t="shared" si="9"/>
        <v>1</v>
      </c>
      <c r="L74" s="22"/>
      <c r="M74" s="20">
        <f t="shared" si="5"/>
        <v>1</v>
      </c>
      <c r="N74" s="20"/>
      <c r="O74" s="21">
        <f t="shared" si="6"/>
        <v>0</v>
      </c>
    </row>
    <row r="75" spans="1:15" ht="30" customHeight="1">
      <c r="A75" s="10">
        <f t="shared" si="7"/>
        <v>72</v>
      </c>
      <c r="B75" s="11">
        <v>1002240706784</v>
      </c>
      <c r="C75" s="12" t="s">
        <v>782</v>
      </c>
      <c r="D75" s="11" t="s">
        <v>707</v>
      </c>
      <c r="E75" s="11">
        <v>1</v>
      </c>
      <c r="F75" s="13" t="s">
        <v>708</v>
      </c>
      <c r="G75" s="14">
        <f t="shared" si="8"/>
        <v>45581</v>
      </c>
      <c r="H75" s="15"/>
      <c r="I75" s="22">
        <v>45580</v>
      </c>
      <c r="J75" s="22"/>
      <c r="K75" s="19">
        <f t="shared" si="9"/>
        <v>1</v>
      </c>
      <c r="L75" s="22"/>
      <c r="M75" s="20">
        <f t="shared" si="5"/>
        <v>1</v>
      </c>
      <c r="N75" s="20"/>
      <c r="O75" s="21">
        <f t="shared" si="6"/>
        <v>0</v>
      </c>
    </row>
    <row r="76" spans="1:15" ht="30" customHeight="1">
      <c r="A76" s="10">
        <f t="shared" si="7"/>
        <v>73</v>
      </c>
      <c r="B76" s="11">
        <v>1002240707278</v>
      </c>
      <c r="C76" s="12" t="s">
        <v>783</v>
      </c>
      <c r="D76" s="11" t="s">
        <v>707</v>
      </c>
      <c r="E76" s="11">
        <v>2</v>
      </c>
      <c r="F76" s="13" t="s">
        <v>708</v>
      </c>
      <c r="G76" s="14">
        <f t="shared" si="8"/>
        <v>45580</v>
      </c>
      <c r="H76" s="15"/>
      <c r="I76" s="22">
        <v>45579</v>
      </c>
      <c r="J76" s="22"/>
      <c r="K76" s="19">
        <f t="shared" si="9"/>
        <v>1</v>
      </c>
      <c r="L76" s="22"/>
      <c r="M76" s="20">
        <f t="shared" si="5"/>
        <v>2</v>
      </c>
      <c r="N76" s="20"/>
      <c r="O76" s="21">
        <f t="shared" si="6"/>
        <v>0</v>
      </c>
    </row>
    <row r="77" spans="1:15" ht="30" customHeight="1">
      <c r="A77" s="10">
        <f t="shared" si="7"/>
        <v>74</v>
      </c>
      <c r="B77" s="11">
        <v>1007240808946</v>
      </c>
      <c r="C77" s="12" t="s">
        <v>784</v>
      </c>
      <c r="D77" s="11" t="s">
        <v>742</v>
      </c>
      <c r="E77" s="11">
        <v>15.48</v>
      </c>
      <c r="F77" s="13" t="s">
        <v>708</v>
      </c>
      <c r="G77" s="14">
        <f t="shared" si="8"/>
        <v>45584</v>
      </c>
      <c r="H77" s="15"/>
      <c r="I77" s="22">
        <v>45583</v>
      </c>
      <c r="J77" s="22"/>
      <c r="K77" s="19">
        <f t="shared" si="9"/>
        <v>1</v>
      </c>
      <c r="L77" s="22"/>
      <c r="M77" s="20">
        <f t="shared" si="5"/>
        <v>15.48</v>
      </c>
      <c r="N77" s="20"/>
      <c r="O77" s="21">
        <f t="shared" si="6"/>
        <v>0</v>
      </c>
    </row>
    <row r="78" spans="1:15" ht="30" customHeight="1">
      <c r="A78" s="10">
        <f t="shared" si="7"/>
        <v>75</v>
      </c>
      <c r="B78" s="11">
        <v>1001240606315</v>
      </c>
      <c r="C78" s="12" t="s">
        <v>785</v>
      </c>
      <c r="D78" s="11" t="s">
        <v>707</v>
      </c>
      <c r="E78" s="11">
        <v>1</v>
      </c>
      <c r="F78" s="13" t="s">
        <v>708</v>
      </c>
      <c r="G78" s="14">
        <f t="shared" si="8"/>
        <v>45584</v>
      </c>
      <c r="H78" s="15"/>
      <c r="I78" s="22">
        <v>45583</v>
      </c>
      <c r="J78" s="22"/>
      <c r="K78" s="19">
        <f t="shared" si="9"/>
        <v>1</v>
      </c>
      <c r="L78" s="22"/>
      <c r="M78" s="20">
        <f t="shared" si="5"/>
        <v>1</v>
      </c>
      <c r="N78" s="20"/>
      <c r="O78" s="21">
        <f t="shared" si="6"/>
        <v>0</v>
      </c>
    </row>
    <row r="79" spans="1:15" ht="30" customHeight="1">
      <c r="A79" s="10">
        <f t="shared" si="7"/>
        <v>76</v>
      </c>
      <c r="B79" s="11">
        <v>1004240808973</v>
      </c>
      <c r="C79" s="12" t="s">
        <v>786</v>
      </c>
      <c r="D79" s="11" t="s">
        <v>712</v>
      </c>
      <c r="E79" s="11">
        <v>1</v>
      </c>
      <c r="F79" s="13" t="s">
        <v>708</v>
      </c>
      <c r="G79" s="14">
        <f t="shared" si="8"/>
        <v>45584</v>
      </c>
      <c r="H79" s="15"/>
      <c r="I79" s="22">
        <v>45583</v>
      </c>
      <c r="J79" s="22"/>
      <c r="K79" s="19">
        <f t="shared" si="9"/>
        <v>1</v>
      </c>
      <c r="L79" s="22"/>
      <c r="M79" s="20">
        <f t="shared" si="5"/>
        <v>1</v>
      </c>
      <c r="N79" s="20"/>
      <c r="O79" s="21">
        <f t="shared" si="6"/>
        <v>0</v>
      </c>
    </row>
    <row r="80" spans="1:15" ht="30" customHeight="1">
      <c r="A80" s="10">
        <f t="shared" si="7"/>
        <v>77</v>
      </c>
      <c r="B80" s="11">
        <v>1003240605516</v>
      </c>
      <c r="C80" s="12" t="s">
        <v>787</v>
      </c>
      <c r="D80" s="11" t="s">
        <v>712</v>
      </c>
      <c r="E80" s="11">
        <v>18</v>
      </c>
      <c r="F80" s="13" t="s">
        <v>708</v>
      </c>
      <c r="G80" s="14">
        <f t="shared" si="8"/>
        <v>45584</v>
      </c>
      <c r="H80" s="15"/>
      <c r="I80" s="22">
        <v>45583</v>
      </c>
      <c r="J80" s="22"/>
      <c r="K80" s="19">
        <f t="shared" si="9"/>
        <v>1</v>
      </c>
      <c r="L80" s="22"/>
      <c r="M80" s="20">
        <f t="shared" si="5"/>
        <v>18</v>
      </c>
      <c r="N80" s="20"/>
      <c r="O80" s="21">
        <f t="shared" si="6"/>
        <v>0</v>
      </c>
    </row>
    <row r="81" spans="1:15" ht="30" customHeight="1">
      <c r="A81" s="10">
        <f t="shared" si="7"/>
        <v>78</v>
      </c>
      <c r="B81" s="11">
        <v>1006221012360</v>
      </c>
      <c r="C81" s="12" t="s">
        <v>788</v>
      </c>
      <c r="D81" s="11" t="s">
        <v>712</v>
      </c>
      <c r="E81" s="11">
        <v>8</v>
      </c>
      <c r="F81" s="13" t="s">
        <v>708</v>
      </c>
      <c r="G81" s="14">
        <f t="shared" si="8"/>
        <v>45576</v>
      </c>
      <c r="H81" s="15"/>
      <c r="I81" s="22">
        <v>45575</v>
      </c>
      <c r="J81" s="22"/>
      <c r="K81" s="19">
        <f t="shared" si="9"/>
        <v>1</v>
      </c>
      <c r="L81" s="22"/>
      <c r="M81" s="20">
        <f t="shared" si="5"/>
        <v>8</v>
      </c>
      <c r="N81" s="20"/>
      <c r="O81" s="21">
        <f t="shared" si="6"/>
        <v>0</v>
      </c>
    </row>
    <row r="82" spans="1:15" ht="30" customHeight="1">
      <c r="A82" s="10">
        <f t="shared" si="7"/>
        <v>79</v>
      </c>
      <c r="B82" s="11">
        <v>1007221112937</v>
      </c>
      <c r="C82" s="12" t="s">
        <v>789</v>
      </c>
      <c r="D82" s="11" t="s">
        <v>742</v>
      </c>
      <c r="E82" s="11">
        <v>13.48</v>
      </c>
      <c r="F82" s="13" t="s">
        <v>708</v>
      </c>
      <c r="G82" s="14">
        <f t="shared" si="8"/>
        <v>45589</v>
      </c>
      <c r="H82" s="15"/>
      <c r="I82" s="22">
        <v>45588</v>
      </c>
      <c r="J82" s="22"/>
      <c r="K82" s="19">
        <f t="shared" si="9"/>
        <v>1</v>
      </c>
      <c r="L82" s="22"/>
      <c r="M82" s="20">
        <f t="shared" si="5"/>
        <v>13.48</v>
      </c>
      <c r="N82" s="20"/>
      <c r="O82" s="21">
        <f t="shared" si="6"/>
        <v>0</v>
      </c>
    </row>
    <row r="83" spans="1:15" ht="30" customHeight="1">
      <c r="A83" s="10">
        <f t="shared" si="7"/>
        <v>80</v>
      </c>
      <c r="B83" s="11">
        <v>1007221112938</v>
      </c>
      <c r="C83" s="12" t="s">
        <v>790</v>
      </c>
      <c r="D83" s="11" t="s">
        <v>742</v>
      </c>
      <c r="E83" s="11">
        <v>14.51</v>
      </c>
      <c r="F83" s="13" t="s">
        <v>708</v>
      </c>
      <c r="G83" s="14">
        <f t="shared" si="8"/>
        <v>45571</v>
      </c>
      <c r="H83" s="15"/>
      <c r="I83" s="22">
        <v>45570</v>
      </c>
      <c r="J83" s="22"/>
      <c r="K83" s="19">
        <f t="shared" si="9"/>
        <v>1</v>
      </c>
      <c r="L83" s="22"/>
      <c r="M83" s="20">
        <f t="shared" si="5"/>
        <v>14.51</v>
      </c>
      <c r="N83" s="20"/>
      <c r="O83" s="21">
        <f t="shared" si="6"/>
        <v>0</v>
      </c>
    </row>
    <row r="84" spans="1:15" ht="30" customHeight="1">
      <c r="A84" s="10">
        <f t="shared" si="7"/>
        <v>81</v>
      </c>
      <c r="B84" s="11">
        <v>1007221112939</v>
      </c>
      <c r="C84" s="12" t="s">
        <v>791</v>
      </c>
      <c r="D84" s="11" t="s">
        <v>742</v>
      </c>
      <c r="E84" s="11">
        <v>6.22</v>
      </c>
      <c r="F84" s="13" t="s">
        <v>708</v>
      </c>
      <c r="G84" s="14">
        <f t="shared" si="8"/>
        <v>45571</v>
      </c>
      <c r="H84" s="15"/>
      <c r="I84" s="22">
        <v>45570</v>
      </c>
      <c r="J84" s="22"/>
      <c r="K84" s="19">
        <f t="shared" si="9"/>
        <v>1</v>
      </c>
      <c r="L84" s="22"/>
      <c r="M84" s="20">
        <f t="shared" si="5"/>
        <v>6.22</v>
      </c>
      <c r="N84" s="20"/>
      <c r="O84" s="21">
        <f t="shared" si="6"/>
        <v>0</v>
      </c>
    </row>
    <row r="85" spans="1:15" ht="30" customHeight="1">
      <c r="A85" s="10">
        <f t="shared" si="7"/>
        <v>82</v>
      </c>
      <c r="B85" s="11">
        <v>1007221112940</v>
      </c>
      <c r="C85" s="12" t="s">
        <v>792</v>
      </c>
      <c r="D85" s="11" t="s">
        <v>742</v>
      </c>
      <c r="E85" s="11">
        <v>8.65</v>
      </c>
      <c r="F85" s="13" t="s">
        <v>708</v>
      </c>
      <c r="G85" s="14">
        <f t="shared" si="8"/>
        <v>45569</v>
      </c>
      <c r="H85" s="15"/>
      <c r="I85" s="22">
        <v>45568</v>
      </c>
      <c r="J85" s="22"/>
      <c r="K85" s="19">
        <f t="shared" si="9"/>
        <v>1</v>
      </c>
      <c r="L85" s="22"/>
      <c r="M85" s="20">
        <f t="shared" si="5"/>
        <v>8.65</v>
      </c>
      <c r="N85" s="20"/>
      <c r="O85" s="21">
        <f t="shared" si="6"/>
        <v>0</v>
      </c>
    </row>
    <row r="86" spans="1:15" ht="30" customHeight="1">
      <c r="A86" s="10">
        <f t="shared" si="7"/>
        <v>83</v>
      </c>
      <c r="B86" s="11">
        <v>1007221112941</v>
      </c>
      <c r="C86" s="12" t="s">
        <v>793</v>
      </c>
      <c r="D86" s="11" t="s">
        <v>742</v>
      </c>
      <c r="E86" s="11">
        <v>2.12</v>
      </c>
      <c r="F86" s="13" t="s">
        <v>708</v>
      </c>
      <c r="G86" s="14">
        <f t="shared" si="8"/>
        <v>45569</v>
      </c>
      <c r="H86" s="15"/>
      <c r="I86" s="22">
        <v>45568</v>
      </c>
      <c r="J86" s="22"/>
      <c r="K86" s="19">
        <f t="shared" si="9"/>
        <v>1</v>
      </c>
      <c r="L86" s="22"/>
      <c r="M86" s="20">
        <f t="shared" si="5"/>
        <v>2.12</v>
      </c>
      <c r="N86" s="20"/>
      <c r="O86" s="21">
        <f t="shared" si="6"/>
        <v>0</v>
      </c>
    </row>
    <row r="87" spans="1:15" ht="30" customHeight="1">
      <c r="A87" s="10">
        <f t="shared" si="7"/>
        <v>84</v>
      </c>
      <c r="B87" s="11">
        <v>1007221112942</v>
      </c>
      <c r="C87" s="12" t="s">
        <v>794</v>
      </c>
      <c r="D87" s="11" t="s">
        <v>742</v>
      </c>
      <c r="E87" s="11">
        <v>27.1</v>
      </c>
      <c r="F87" s="13" t="s">
        <v>708</v>
      </c>
      <c r="G87" s="14">
        <f t="shared" si="8"/>
        <v>45569</v>
      </c>
      <c r="H87" s="15"/>
      <c r="I87" s="22">
        <v>45568</v>
      </c>
      <c r="J87" s="22"/>
      <c r="K87" s="19">
        <f t="shared" si="9"/>
        <v>1</v>
      </c>
      <c r="L87" s="22"/>
      <c r="M87" s="20">
        <f t="shared" si="5"/>
        <v>27.1</v>
      </c>
      <c r="N87" s="20"/>
      <c r="O87" s="21">
        <f t="shared" si="6"/>
        <v>0</v>
      </c>
    </row>
    <row r="88" spans="1:15" ht="30" customHeight="1">
      <c r="A88" s="10">
        <f t="shared" si="7"/>
        <v>85</v>
      </c>
      <c r="B88" s="11">
        <v>1007221112943</v>
      </c>
      <c r="C88" s="12" t="s">
        <v>795</v>
      </c>
      <c r="D88" s="11" t="s">
        <v>742</v>
      </c>
      <c r="E88" s="11">
        <v>3.88</v>
      </c>
      <c r="F88" s="13" t="s">
        <v>708</v>
      </c>
      <c r="G88" s="14">
        <f t="shared" si="8"/>
        <v>45569</v>
      </c>
      <c r="H88" s="15"/>
      <c r="I88" s="22">
        <v>45568</v>
      </c>
      <c r="J88" s="22"/>
      <c r="K88" s="19">
        <f t="shared" si="9"/>
        <v>1</v>
      </c>
      <c r="L88" s="22"/>
      <c r="M88" s="20">
        <f t="shared" si="5"/>
        <v>3.88</v>
      </c>
      <c r="N88" s="20"/>
      <c r="O88" s="21">
        <f t="shared" si="6"/>
        <v>0</v>
      </c>
    </row>
    <row r="89" spans="1:15" ht="30" customHeight="1">
      <c r="A89" s="10">
        <f t="shared" si="7"/>
        <v>86</v>
      </c>
      <c r="B89" s="11">
        <v>1007221112944</v>
      </c>
      <c r="C89" s="12" t="s">
        <v>796</v>
      </c>
      <c r="D89" s="11" t="s">
        <v>742</v>
      </c>
      <c r="E89" s="11">
        <v>8.06</v>
      </c>
      <c r="F89" s="13" t="s">
        <v>708</v>
      </c>
      <c r="G89" s="14">
        <f t="shared" si="8"/>
        <v>45569</v>
      </c>
      <c r="H89" s="15"/>
      <c r="I89" s="22">
        <v>45568</v>
      </c>
      <c r="J89" s="22"/>
      <c r="K89" s="19">
        <f t="shared" si="9"/>
        <v>1</v>
      </c>
      <c r="L89" s="22"/>
      <c r="M89" s="20">
        <f t="shared" si="5"/>
        <v>8.06</v>
      </c>
      <c r="N89" s="20"/>
      <c r="O89" s="21">
        <f t="shared" si="6"/>
        <v>0</v>
      </c>
    </row>
    <row r="90" spans="1:15" ht="30" customHeight="1">
      <c r="A90" s="10">
        <f t="shared" si="7"/>
        <v>87</v>
      </c>
      <c r="B90" s="11">
        <v>1007221112945</v>
      </c>
      <c r="C90" s="12" t="s">
        <v>797</v>
      </c>
      <c r="D90" s="11" t="s">
        <v>742</v>
      </c>
      <c r="E90" s="11">
        <v>2.12</v>
      </c>
      <c r="F90" s="13" t="s">
        <v>708</v>
      </c>
      <c r="G90" s="14">
        <f t="shared" si="8"/>
        <v>45569</v>
      </c>
      <c r="H90" s="15"/>
      <c r="I90" s="22">
        <v>45568</v>
      </c>
      <c r="J90" s="22"/>
      <c r="K90" s="19">
        <f t="shared" si="9"/>
        <v>1</v>
      </c>
      <c r="L90" s="22"/>
      <c r="M90" s="20">
        <f t="shared" si="5"/>
        <v>2.12</v>
      </c>
      <c r="N90" s="20"/>
      <c r="O90" s="21">
        <f t="shared" si="6"/>
        <v>0</v>
      </c>
    </row>
    <row r="91" spans="1:15" ht="30" customHeight="1">
      <c r="A91" s="10">
        <f t="shared" si="7"/>
        <v>88</v>
      </c>
      <c r="B91" s="11">
        <v>1007221112946</v>
      </c>
      <c r="C91" s="12" t="s">
        <v>798</v>
      </c>
      <c r="D91" s="11" t="s">
        <v>742</v>
      </c>
      <c r="E91" s="11">
        <v>19.7</v>
      </c>
      <c r="F91" s="13" t="s">
        <v>708</v>
      </c>
      <c r="G91" s="14">
        <f t="shared" si="8"/>
        <v>45569</v>
      </c>
      <c r="H91" s="15"/>
      <c r="I91" s="22">
        <v>45568</v>
      </c>
      <c r="J91" s="22"/>
      <c r="K91" s="19">
        <f t="shared" si="9"/>
        <v>1</v>
      </c>
      <c r="L91" s="22"/>
      <c r="M91" s="20">
        <f t="shared" si="5"/>
        <v>19.7</v>
      </c>
      <c r="N91" s="20"/>
      <c r="O91" s="21">
        <f t="shared" si="6"/>
        <v>0</v>
      </c>
    </row>
    <row r="92" spans="1:15" ht="30" customHeight="1">
      <c r="A92" s="10">
        <f t="shared" si="7"/>
        <v>89</v>
      </c>
      <c r="B92" s="11">
        <v>1007221112947</v>
      </c>
      <c r="C92" s="12" t="s">
        <v>799</v>
      </c>
      <c r="D92" s="11" t="s">
        <v>742</v>
      </c>
      <c r="E92" s="11">
        <v>4.0599999999999996</v>
      </c>
      <c r="F92" s="13" t="s">
        <v>708</v>
      </c>
      <c r="G92" s="14">
        <f t="shared" si="8"/>
        <v>45576</v>
      </c>
      <c r="H92" s="15"/>
      <c r="I92" s="22">
        <v>45575</v>
      </c>
      <c r="J92" s="22"/>
      <c r="K92" s="19">
        <f t="shared" si="9"/>
        <v>1</v>
      </c>
      <c r="L92" s="22"/>
      <c r="M92" s="20">
        <f t="shared" si="5"/>
        <v>4.0599999999999996</v>
      </c>
      <c r="N92" s="20"/>
      <c r="O92" s="21">
        <f t="shared" si="6"/>
        <v>0</v>
      </c>
    </row>
    <row r="93" spans="1:15" ht="30" customHeight="1">
      <c r="A93" s="10">
        <f t="shared" si="7"/>
        <v>90</v>
      </c>
      <c r="B93" s="11">
        <v>1007221112948</v>
      </c>
      <c r="C93" s="12" t="s">
        <v>800</v>
      </c>
      <c r="D93" s="11" t="s">
        <v>742</v>
      </c>
      <c r="E93" s="11">
        <v>8.06</v>
      </c>
      <c r="F93" s="13" t="s">
        <v>708</v>
      </c>
      <c r="G93" s="14">
        <f t="shared" si="8"/>
        <v>45569</v>
      </c>
      <c r="H93" s="15"/>
      <c r="I93" s="22">
        <v>45568</v>
      </c>
      <c r="J93" s="22"/>
      <c r="K93" s="19">
        <f t="shared" si="9"/>
        <v>1</v>
      </c>
      <c r="L93" s="22"/>
      <c r="M93" s="20">
        <f t="shared" si="5"/>
        <v>8.06</v>
      </c>
      <c r="N93" s="20"/>
      <c r="O93" s="21">
        <f t="shared" si="6"/>
        <v>0</v>
      </c>
    </row>
    <row r="94" spans="1:15" ht="30" customHeight="1">
      <c r="A94" s="10">
        <f t="shared" si="7"/>
        <v>91</v>
      </c>
      <c r="B94" s="11">
        <v>1007221112949</v>
      </c>
      <c r="C94" s="12" t="s">
        <v>801</v>
      </c>
      <c r="D94" s="11" t="s">
        <v>742</v>
      </c>
      <c r="E94" s="11">
        <v>2.21</v>
      </c>
      <c r="F94" s="13" t="s">
        <v>708</v>
      </c>
      <c r="G94" s="14">
        <f t="shared" si="8"/>
        <v>45571</v>
      </c>
      <c r="H94" s="15"/>
      <c r="I94" s="22">
        <v>45570</v>
      </c>
      <c r="J94" s="22"/>
      <c r="K94" s="19">
        <f t="shared" si="9"/>
        <v>1</v>
      </c>
      <c r="L94" s="22"/>
      <c r="M94" s="20">
        <f t="shared" si="5"/>
        <v>2.21</v>
      </c>
      <c r="N94" s="20"/>
      <c r="O94" s="21">
        <f t="shared" si="6"/>
        <v>0</v>
      </c>
    </row>
    <row r="95" spans="1:15" ht="30" customHeight="1">
      <c r="A95" s="10">
        <f t="shared" si="7"/>
        <v>92</v>
      </c>
      <c r="B95" s="11">
        <v>1007221112969</v>
      </c>
      <c r="C95" s="12" t="s">
        <v>802</v>
      </c>
      <c r="D95" s="11" t="s">
        <v>712</v>
      </c>
      <c r="E95" s="11">
        <v>3</v>
      </c>
      <c r="F95" s="13" t="s">
        <v>708</v>
      </c>
      <c r="G95" s="14">
        <f t="shared" si="8"/>
        <v>45569</v>
      </c>
      <c r="H95" s="15"/>
      <c r="I95" s="22">
        <v>45568</v>
      </c>
      <c r="J95" s="22"/>
      <c r="K95" s="19">
        <f t="shared" si="9"/>
        <v>1</v>
      </c>
      <c r="L95" s="22"/>
      <c r="M95" s="20">
        <f t="shared" si="5"/>
        <v>3</v>
      </c>
      <c r="N95" s="20"/>
      <c r="O95" s="21">
        <f t="shared" si="6"/>
        <v>0</v>
      </c>
    </row>
    <row r="96" spans="1:15" ht="30" customHeight="1">
      <c r="A96" s="10">
        <f t="shared" si="7"/>
        <v>93</v>
      </c>
      <c r="B96" s="11">
        <v>1007221112970</v>
      </c>
      <c r="C96" s="12" t="s">
        <v>803</v>
      </c>
      <c r="D96" s="11" t="s">
        <v>712</v>
      </c>
      <c r="E96" s="11">
        <v>2</v>
      </c>
      <c r="F96" s="13" t="s">
        <v>708</v>
      </c>
      <c r="G96" s="14">
        <f t="shared" si="8"/>
        <v>45571</v>
      </c>
      <c r="H96" s="15"/>
      <c r="I96" s="22">
        <v>45570</v>
      </c>
      <c r="J96" s="22"/>
      <c r="K96" s="19">
        <f t="shared" si="9"/>
        <v>1</v>
      </c>
      <c r="L96" s="22"/>
      <c r="M96" s="20">
        <f t="shared" si="5"/>
        <v>2</v>
      </c>
      <c r="N96" s="20"/>
      <c r="O96" s="21">
        <f t="shared" si="6"/>
        <v>0</v>
      </c>
    </row>
    <row r="97" spans="1:15" ht="30" customHeight="1">
      <c r="A97" s="10">
        <f t="shared" si="7"/>
        <v>94</v>
      </c>
      <c r="B97" s="11">
        <v>1007221112971</v>
      </c>
      <c r="C97" s="12" t="s">
        <v>804</v>
      </c>
      <c r="D97" s="11" t="s">
        <v>742</v>
      </c>
      <c r="E97" s="11">
        <v>38.369999999999997</v>
      </c>
      <c r="F97" s="13" t="s">
        <v>708</v>
      </c>
      <c r="G97" s="14">
        <f t="shared" si="8"/>
        <v>45569</v>
      </c>
      <c r="H97" s="15"/>
      <c r="I97" s="22">
        <v>45568</v>
      </c>
      <c r="J97" s="22"/>
      <c r="K97" s="19">
        <f t="shared" si="9"/>
        <v>1</v>
      </c>
      <c r="L97" s="22"/>
      <c r="M97" s="20">
        <f t="shared" si="5"/>
        <v>38.369999999999997</v>
      </c>
      <c r="N97" s="20"/>
      <c r="O97" s="21">
        <f t="shared" si="6"/>
        <v>0</v>
      </c>
    </row>
    <row r="98" spans="1:15" ht="30" customHeight="1">
      <c r="A98" s="10">
        <f t="shared" si="7"/>
        <v>95</v>
      </c>
      <c r="B98" s="11">
        <v>1007221112972</v>
      </c>
      <c r="C98" s="12" t="s">
        <v>805</v>
      </c>
      <c r="D98" s="11" t="s">
        <v>742</v>
      </c>
      <c r="E98" s="11">
        <v>7.69</v>
      </c>
      <c r="F98" s="13" t="s">
        <v>708</v>
      </c>
      <c r="G98" s="14">
        <f t="shared" si="8"/>
        <v>45571</v>
      </c>
      <c r="H98" s="15"/>
      <c r="I98" s="22">
        <v>45570</v>
      </c>
      <c r="J98" s="22"/>
      <c r="K98" s="19">
        <f t="shared" si="9"/>
        <v>1</v>
      </c>
      <c r="L98" s="22"/>
      <c r="M98" s="20">
        <f t="shared" si="5"/>
        <v>7.69</v>
      </c>
      <c r="N98" s="20"/>
      <c r="O98" s="21">
        <f t="shared" si="6"/>
        <v>0</v>
      </c>
    </row>
    <row r="99" spans="1:15" ht="30" customHeight="1">
      <c r="A99" s="10">
        <f t="shared" si="7"/>
        <v>96</v>
      </c>
      <c r="B99" s="11">
        <v>1007221112973</v>
      </c>
      <c r="C99" s="12" t="s">
        <v>806</v>
      </c>
      <c r="D99" s="11" t="s">
        <v>742</v>
      </c>
      <c r="E99" s="11">
        <v>16.47</v>
      </c>
      <c r="F99" s="13" t="s">
        <v>708</v>
      </c>
      <c r="G99" s="14">
        <f t="shared" si="8"/>
        <v>45569</v>
      </c>
      <c r="H99" s="15"/>
      <c r="I99" s="22">
        <v>45568</v>
      </c>
      <c r="J99" s="22"/>
      <c r="K99" s="19">
        <f t="shared" si="9"/>
        <v>1</v>
      </c>
      <c r="L99" s="22"/>
      <c r="M99" s="20">
        <f t="shared" si="5"/>
        <v>16.47</v>
      </c>
      <c r="N99" s="20"/>
      <c r="O99" s="21">
        <f t="shared" si="6"/>
        <v>0</v>
      </c>
    </row>
    <row r="100" spans="1:15" ht="30" customHeight="1">
      <c r="A100" s="10">
        <f t="shared" si="7"/>
        <v>97</v>
      </c>
      <c r="B100" s="11">
        <v>1007221112974</v>
      </c>
      <c r="C100" s="12" t="s">
        <v>807</v>
      </c>
      <c r="D100" s="11" t="s">
        <v>742</v>
      </c>
      <c r="E100" s="11">
        <v>7.4</v>
      </c>
      <c r="F100" s="13" t="s">
        <v>708</v>
      </c>
      <c r="G100" s="14">
        <f t="shared" si="8"/>
        <v>45576</v>
      </c>
      <c r="H100" s="15"/>
      <c r="I100" s="22">
        <v>45575</v>
      </c>
      <c r="J100" s="22"/>
      <c r="K100" s="19">
        <f t="shared" si="9"/>
        <v>1</v>
      </c>
      <c r="L100" s="22"/>
      <c r="M100" s="20">
        <f t="shared" si="5"/>
        <v>7.4</v>
      </c>
      <c r="N100" s="20"/>
      <c r="O100" s="21">
        <f t="shared" si="6"/>
        <v>0</v>
      </c>
    </row>
    <row r="101" spans="1:15" ht="30" customHeight="1">
      <c r="A101" s="10">
        <f t="shared" si="7"/>
        <v>98</v>
      </c>
      <c r="B101" s="11">
        <v>1007221112975</v>
      </c>
      <c r="C101" s="12" t="s">
        <v>808</v>
      </c>
      <c r="D101" s="11" t="s">
        <v>742</v>
      </c>
      <c r="E101" s="11">
        <v>14.3</v>
      </c>
      <c r="F101" s="13" t="s">
        <v>708</v>
      </c>
      <c r="G101" s="14">
        <f t="shared" si="8"/>
        <v>45569</v>
      </c>
      <c r="H101" s="15"/>
      <c r="I101" s="22">
        <v>45568</v>
      </c>
      <c r="J101" s="22"/>
      <c r="K101" s="19">
        <f t="shared" si="9"/>
        <v>1</v>
      </c>
      <c r="L101" s="22"/>
      <c r="M101" s="20">
        <f t="shared" si="5"/>
        <v>14.3</v>
      </c>
      <c r="N101" s="20"/>
      <c r="O101" s="21">
        <f t="shared" si="6"/>
        <v>0</v>
      </c>
    </row>
    <row r="102" spans="1:15" ht="30" customHeight="1">
      <c r="A102" s="10">
        <f t="shared" si="7"/>
        <v>99</v>
      </c>
      <c r="B102" s="11">
        <v>1007221112976</v>
      </c>
      <c r="C102" s="12" t="s">
        <v>809</v>
      </c>
      <c r="D102" s="11" t="s">
        <v>742</v>
      </c>
      <c r="E102" s="11">
        <v>3.3</v>
      </c>
      <c r="F102" s="13" t="s">
        <v>708</v>
      </c>
      <c r="G102" s="14">
        <f t="shared" si="8"/>
        <v>45573</v>
      </c>
      <c r="H102" s="15"/>
      <c r="I102" s="22">
        <v>45572</v>
      </c>
      <c r="J102" s="22"/>
      <c r="K102" s="19">
        <f t="shared" si="9"/>
        <v>1</v>
      </c>
      <c r="L102" s="22"/>
      <c r="M102" s="20">
        <f t="shared" si="5"/>
        <v>3.3</v>
      </c>
      <c r="N102" s="20"/>
      <c r="O102" s="21">
        <f t="shared" si="6"/>
        <v>0</v>
      </c>
    </row>
    <row r="103" spans="1:15" ht="30" customHeight="1">
      <c r="A103" s="10">
        <f t="shared" si="7"/>
        <v>100</v>
      </c>
      <c r="B103" s="11">
        <v>1007221112977</v>
      </c>
      <c r="C103" s="12" t="s">
        <v>810</v>
      </c>
      <c r="D103" s="11" t="s">
        <v>742</v>
      </c>
      <c r="E103" s="11">
        <v>7.6</v>
      </c>
      <c r="F103" s="13" t="s">
        <v>708</v>
      </c>
      <c r="G103" s="14">
        <f t="shared" si="8"/>
        <v>45569</v>
      </c>
      <c r="H103" s="15"/>
      <c r="I103" s="22">
        <v>45568</v>
      </c>
      <c r="J103" s="22"/>
      <c r="K103" s="19">
        <f t="shared" si="9"/>
        <v>1</v>
      </c>
      <c r="L103" s="22"/>
      <c r="M103" s="20">
        <f t="shared" si="5"/>
        <v>7.6</v>
      </c>
      <c r="N103" s="20"/>
      <c r="O103" s="21">
        <f t="shared" si="6"/>
        <v>0</v>
      </c>
    </row>
    <row r="104" spans="1:15" ht="30" customHeight="1">
      <c r="A104" s="10">
        <f t="shared" si="7"/>
        <v>101</v>
      </c>
      <c r="B104" s="11">
        <v>1007221112978</v>
      </c>
      <c r="C104" s="12" t="s">
        <v>811</v>
      </c>
      <c r="D104" s="11" t="s">
        <v>742</v>
      </c>
      <c r="E104" s="11">
        <v>3.75</v>
      </c>
      <c r="F104" s="13" t="s">
        <v>708</v>
      </c>
      <c r="G104" s="14">
        <f t="shared" si="8"/>
        <v>45573</v>
      </c>
      <c r="H104" s="15"/>
      <c r="I104" s="22">
        <v>45572</v>
      </c>
      <c r="J104" s="22"/>
      <c r="K104" s="19">
        <f t="shared" si="9"/>
        <v>1</v>
      </c>
      <c r="L104" s="22"/>
      <c r="M104" s="20">
        <f t="shared" si="5"/>
        <v>3.75</v>
      </c>
      <c r="N104" s="20"/>
      <c r="O104" s="21">
        <f t="shared" si="6"/>
        <v>0</v>
      </c>
    </row>
    <row r="105" spans="1:15" ht="30" customHeight="1">
      <c r="A105" s="10">
        <f t="shared" si="7"/>
        <v>102</v>
      </c>
      <c r="B105" s="11">
        <v>1007221112998</v>
      </c>
      <c r="C105" s="12" t="s">
        <v>812</v>
      </c>
      <c r="D105" s="11" t="s">
        <v>712</v>
      </c>
      <c r="E105" s="11">
        <v>3</v>
      </c>
      <c r="F105" s="13" t="s">
        <v>708</v>
      </c>
      <c r="G105" s="14">
        <f t="shared" si="8"/>
        <v>45569</v>
      </c>
      <c r="H105" s="15"/>
      <c r="I105" s="22">
        <v>45568</v>
      </c>
      <c r="J105" s="22"/>
      <c r="K105" s="19">
        <f t="shared" si="9"/>
        <v>1</v>
      </c>
      <c r="L105" s="22"/>
      <c r="M105" s="20">
        <f t="shared" si="5"/>
        <v>3</v>
      </c>
      <c r="N105" s="20"/>
      <c r="O105" s="21">
        <f t="shared" si="6"/>
        <v>0</v>
      </c>
    </row>
    <row r="106" spans="1:15" ht="30" customHeight="1">
      <c r="A106" s="10">
        <f t="shared" si="7"/>
        <v>103</v>
      </c>
      <c r="B106" s="11">
        <v>1007221112999</v>
      </c>
      <c r="C106" s="12" t="s">
        <v>813</v>
      </c>
      <c r="D106" s="11" t="s">
        <v>712</v>
      </c>
      <c r="E106" s="11">
        <v>2</v>
      </c>
      <c r="F106" s="13" t="s">
        <v>708</v>
      </c>
      <c r="G106" s="14">
        <f t="shared" si="8"/>
        <v>45573</v>
      </c>
      <c r="H106" s="15"/>
      <c r="I106" s="22">
        <v>45572</v>
      </c>
      <c r="J106" s="22"/>
      <c r="K106" s="19">
        <f t="shared" si="9"/>
        <v>1</v>
      </c>
      <c r="L106" s="22"/>
      <c r="M106" s="20">
        <f t="shared" si="5"/>
        <v>2</v>
      </c>
      <c r="N106" s="20"/>
      <c r="O106" s="21">
        <f t="shared" si="6"/>
        <v>0</v>
      </c>
    </row>
    <row r="107" spans="1:15" ht="30" customHeight="1">
      <c r="A107" s="10">
        <f t="shared" si="7"/>
        <v>104</v>
      </c>
      <c r="B107" s="11">
        <v>1001240606314</v>
      </c>
      <c r="C107" s="12" t="s">
        <v>814</v>
      </c>
      <c r="D107" s="11" t="s">
        <v>707</v>
      </c>
      <c r="E107" s="11">
        <v>31</v>
      </c>
      <c r="F107" s="13" t="s">
        <v>708</v>
      </c>
      <c r="G107" s="14">
        <f t="shared" si="8"/>
        <v>45583</v>
      </c>
      <c r="H107" s="15"/>
      <c r="I107" s="22">
        <v>45582</v>
      </c>
      <c r="J107" s="22"/>
      <c r="K107" s="19">
        <f t="shared" si="9"/>
        <v>1</v>
      </c>
      <c r="L107" s="22"/>
      <c r="M107" s="20">
        <f t="shared" si="5"/>
        <v>31</v>
      </c>
      <c r="N107" s="20"/>
      <c r="O107" s="21">
        <f t="shared" si="6"/>
        <v>0</v>
      </c>
    </row>
    <row r="108" spans="1:15" ht="30" customHeight="1">
      <c r="A108" s="10">
        <f t="shared" si="7"/>
        <v>105</v>
      </c>
      <c r="B108" s="11">
        <v>1003240605534</v>
      </c>
      <c r="C108" s="12" t="s">
        <v>815</v>
      </c>
      <c r="D108" s="11" t="s">
        <v>712</v>
      </c>
      <c r="E108" s="11">
        <v>2</v>
      </c>
      <c r="F108" s="13" t="s">
        <v>708</v>
      </c>
      <c r="G108" s="14">
        <f t="shared" si="8"/>
        <v>45569</v>
      </c>
      <c r="H108" s="15"/>
      <c r="I108" s="22">
        <v>45568</v>
      </c>
      <c r="J108" s="22"/>
      <c r="K108" s="19">
        <f t="shared" si="9"/>
        <v>1</v>
      </c>
      <c r="L108" s="22"/>
      <c r="M108" s="20">
        <f t="shared" si="5"/>
        <v>2</v>
      </c>
      <c r="N108" s="20"/>
      <c r="O108" s="21">
        <f t="shared" si="6"/>
        <v>0</v>
      </c>
    </row>
    <row r="109" spans="1:15" ht="30" customHeight="1">
      <c r="A109" s="10">
        <f t="shared" si="7"/>
        <v>106</v>
      </c>
      <c r="B109" s="11">
        <v>1003240605542</v>
      </c>
      <c r="C109" s="12" t="s">
        <v>816</v>
      </c>
      <c r="D109" s="11" t="s">
        <v>712</v>
      </c>
      <c r="E109" s="11">
        <v>4</v>
      </c>
      <c r="F109" s="13" t="s">
        <v>708</v>
      </c>
      <c r="G109" s="14">
        <f t="shared" si="8"/>
        <v>45569</v>
      </c>
      <c r="H109" s="15"/>
      <c r="I109" s="22">
        <v>45568</v>
      </c>
      <c r="J109" s="22"/>
      <c r="K109" s="19">
        <f t="shared" si="9"/>
        <v>1</v>
      </c>
      <c r="L109" s="22"/>
      <c r="M109" s="20">
        <f t="shared" si="5"/>
        <v>4</v>
      </c>
      <c r="N109" s="20"/>
      <c r="O109" s="21">
        <f t="shared" si="6"/>
        <v>0</v>
      </c>
    </row>
    <row r="110" spans="1:15" ht="30" customHeight="1">
      <c r="A110" s="10">
        <f t="shared" si="7"/>
        <v>107</v>
      </c>
      <c r="B110" s="11">
        <v>1003240605443</v>
      </c>
      <c r="C110" s="12" t="s">
        <v>817</v>
      </c>
      <c r="D110" s="11" t="s">
        <v>712</v>
      </c>
      <c r="E110" s="11">
        <v>6</v>
      </c>
      <c r="F110" s="13" t="s">
        <v>708</v>
      </c>
      <c r="G110" s="14">
        <f t="shared" si="8"/>
        <v>45569</v>
      </c>
      <c r="H110" s="15"/>
      <c r="I110" s="22">
        <v>45568</v>
      </c>
      <c r="J110" s="22"/>
      <c r="K110" s="19">
        <f t="shared" si="9"/>
        <v>1</v>
      </c>
      <c r="L110" s="22"/>
      <c r="M110" s="20">
        <f t="shared" si="5"/>
        <v>6</v>
      </c>
      <c r="N110" s="20"/>
      <c r="O110" s="21">
        <f t="shared" si="6"/>
        <v>0</v>
      </c>
    </row>
    <row r="111" spans="1:15" ht="30" customHeight="1">
      <c r="A111" s="10">
        <f t="shared" si="7"/>
        <v>108</v>
      </c>
      <c r="B111" s="11">
        <v>1003240605450</v>
      </c>
      <c r="C111" s="12" t="s">
        <v>818</v>
      </c>
      <c r="D111" s="11" t="s">
        <v>712</v>
      </c>
      <c r="E111" s="11">
        <v>6</v>
      </c>
      <c r="F111" s="13" t="s">
        <v>708</v>
      </c>
      <c r="G111" s="14">
        <f t="shared" si="8"/>
        <v>45576</v>
      </c>
      <c r="H111" s="15"/>
      <c r="I111" s="22">
        <v>45575</v>
      </c>
      <c r="J111" s="22"/>
      <c r="K111" s="19">
        <f t="shared" si="9"/>
        <v>1</v>
      </c>
      <c r="L111" s="22"/>
      <c r="M111" s="20">
        <f t="shared" si="5"/>
        <v>6</v>
      </c>
      <c r="N111" s="20"/>
      <c r="O111" s="21">
        <f t="shared" si="6"/>
        <v>0</v>
      </c>
    </row>
    <row r="112" spans="1:15" ht="30" customHeight="1">
      <c r="A112" s="10">
        <f t="shared" si="7"/>
        <v>109</v>
      </c>
      <c r="B112" s="11">
        <v>1003240605452</v>
      </c>
      <c r="C112" s="12" t="s">
        <v>819</v>
      </c>
      <c r="D112" s="11" t="s">
        <v>712</v>
      </c>
      <c r="E112" s="11">
        <v>6</v>
      </c>
      <c r="F112" s="13" t="s">
        <v>708</v>
      </c>
      <c r="G112" s="14">
        <f t="shared" si="8"/>
        <v>45576</v>
      </c>
      <c r="H112" s="15"/>
      <c r="I112" s="22">
        <v>45575</v>
      </c>
      <c r="J112" s="22"/>
      <c r="K112" s="19">
        <f t="shared" si="9"/>
        <v>1</v>
      </c>
      <c r="L112" s="22"/>
      <c r="M112" s="20">
        <f t="shared" si="5"/>
        <v>6</v>
      </c>
      <c r="N112" s="20"/>
      <c r="O112" s="21">
        <f t="shared" si="6"/>
        <v>0</v>
      </c>
    </row>
    <row r="113" spans="1:15" ht="30" customHeight="1">
      <c r="A113" s="10">
        <f t="shared" si="7"/>
        <v>110</v>
      </c>
      <c r="B113" s="11">
        <v>1004230906601</v>
      </c>
      <c r="C113" s="12" t="s">
        <v>820</v>
      </c>
      <c r="D113" s="11" t="s">
        <v>712</v>
      </c>
      <c r="E113" s="11">
        <v>1</v>
      </c>
      <c r="F113" s="13" t="s">
        <v>708</v>
      </c>
      <c r="G113" s="14">
        <f t="shared" si="8"/>
        <v>45576</v>
      </c>
      <c r="H113" s="15"/>
      <c r="I113" s="22">
        <v>45575</v>
      </c>
      <c r="J113" s="22"/>
      <c r="K113" s="19">
        <f t="shared" si="9"/>
        <v>1</v>
      </c>
      <c r="L113" s="22"/>
      <c r="M113" s="20">
        <f t="shared" si="5"/>
        <v>1</v>
      </c>
      <c r="N113" s="20"/>
      <c r="O113" s="21">
        <f t="shared" si="6"/>
        <v>0</v>
      </c>
    </row>
    <row r="114" spans="1:15" ht="30" customHeight="1">
      <c r="A114" s="10">
        <f t="shared" si="7"/>
        <v>111</v>
      </c>
      <c r="B114" s="11">
        <v>1004230906602</v>
      </c>
      <c r="C114" s="12" t="s">
        <v>821</v>
      </c>
      <c r="D114" s="11" t="s">
        <v>712</v>
      </c>
      <c r="E114" s="11">
        <v>1</v>
      </c>
      <c r="F114" s="13" t="s">
        <v>708</v>
      </c>
      <c r="G114" s="14">
        <f t="shared" si="8"/>
        <v>45576</v>
      </c>
      <c r="H114" s="15"/>
      <c r="I114" s="22">
        <v>45575</v>
      </c>
      <c r="J114" s="22"/>
      <c r="K114" s="19">
        <f t="shared" si="9"/>
        <v>1</v>
      </c>
      <c r="L114" s="22"/>
      <c r="M114" s="20">
        <f t="shared" si="5"/>
        <v>1</v>
      </c>
      <c r="N114" s="20"/>
      <c r="O114" s="21">
        <f t="shared" si="6"/>
        <v>0</v>
      </c>
    </row>
    <row r="115" spans="1:15" ht="30" customHeight="1">
      <c r="A115" s="10">
        <f t="shared" si="7"/>
        <v>112</v>
      </c>
      <c r="B115" s="11">
        <v>1001240606313</v>
      </c>
      <c r="C115" s="12" t="s">
        <v>822</v>
      </c>
      <c r="D115" s="11" t="s">
        <v>707</v>
      </c>
      <c r="E115" s="11">
        <v>1</v>
      </c>
      <c r="F115" s="13" t="s">
        <v>708</v>
      </c>
      <c r="G115" s="14">
        <f t="shared" si="8"/>
        <v>45576</v>
      </c>
      <c r="H115" s="15"/>
      <c r="I115" s="22">
        <v>45575</v>
      </c>
      <c r="J115" s="22"/>
      <c r="K115" s="19">
        <f t="shared" si="9"/>
        <v>1</v>
      </c>
      <c r="L115" s="22"/>
      <c r="M115" s="20">
        <f t="shared" si="5"/>
        <v>1</v>
      </c>
      <c r="N115" s="20"/>
      <c r="O115" s="21">
        <f t="shared" si="6"/>
        <v>0</v>
      </c>
    </row>
    <row r="116" spans="1:15" ht="30" customHeight="1">
      <c r="A116" s="10">
        <f t="shared" si="7"/>
        <v>113</v>
      </c>
      <c r="B116" s="11">
        <v>1001240606312</v>
      </c>
      <c r="C116" s="12" t="s">
        <v>823</v>
      </c>
      <c r="D116" s="11" t="s">
        <v>707</v>
      </c>
      <c r="E116" s="11">
        <v>2</v>
      </c>
      <c r="F116" s="13" t="s">
        <v>708</v>
      </c>
      <c r="G116" s="14">
        <f t="shared" si="8"/>
        <v>45576</v>
      </c>
      <c r="H116" s="15"/>
      <c r="I116" s="22">
        <v>45575</v>
      </c>
      <c r="J116" s="22"/>
      <c r="K116" s="19">
        <f t="shared" si="9"/>
        <v>1</v>
      </c>
      <c r="L116" s="22"/>
      <c r="M116" s="20">
        <f t="shared" si="5"/>
        <v>2</v>
      </c>
      <c r="N116" s="20"/>
      <c r="O116" s="21">
        <f t="shared" si="6"/>
        <v>0</v>
      </c>
    </row>
    <row r="117" spans="1:15" ht="30" customHeight="1">
      <c r="A117" s="10">
        <f t="shared" si="7"/>
        <v>114</v>
      </c>
      <c r="B117" s="11">
        <v>1009240808737</v>
      </c>
      <c r="C117" s="12" t="s">
        <v>824</v>
      </c>
      <c r="D117" s="11" t="s">
        <v>707</v>
      </c>
      <c r="E117" s="11">
        <v>1</v>
      </c>
      <c r="F117" s="13" t="s">
        <v>708</v>
      </c>
      <c r="G117" s="14">
        <f t="shared" si="8"/>
        <v>45576</v>
      </c>
      <c r="H117" s="15"/>
      <c r="I117" s="22">
        <v>45575</v>
      </c>
      <c r="J117" s="22"/>
      <c r="K117" s="19">
        <f t="shared" si="9"/>
        <v>1</v>
      </c>
      <c r="L117" s="22"/>
      <c r="M117" s="20">
        <f t="shared" si="5"/>
        <v>1</v>
      </c>
      <c r="N117" s="20"/>
      <c r="O117" s="21">
        <f t="shared" si="6"/>
        <v>0</v>
      </c>
    </row>
    <row r="118" spans="1:15" ht="30" customHeight="1">
      <c r="A118" s="10">
        <f t="shared" si="7"/>
        <v>115</v>
      </c>
      <c r="B118" s="11">
        <v>1006221012342</v>
      </c>
      <c r="C118" s="12" t="s">
        <v>825</v>
      </c>
      <c r="D118" s="11" t="s">
        <v>712</v>
      </c>
      <c r="E118" s="11">
        <v>8</v>
      </c>
      <c r="F118" s="13" t="s">
        <v>708</v>
      </c>
      <c r="G118" s="14">
        <f t="shared" si="8"/>
        <v>45576</v>
      </c>
      <c r="H118" s="15"/>
      <c r="I118" s="22">
        <v>45575</v>
      </c>
      <c r="J118" s="22"/>
      <c r="K118" s="19">
        <f t="shared" si="9"/>
        <v>1</v>
      </c>
      <c r="L118" s="22"/>
      <c r="M118" s="20">
        <f t="shared" si="5"/>
        <v>8</v>
      </c>
      <c r="N118" s="20"/>
      <c r="O118" s="21">
        <f t="shared" si="6"/>
        <v>0</v>
      </c>
    </row>
    <row r="119" spans="1:15" ht="30" customHeight="1">
      <c r="A119" s="10">
        <f t="shared" si="7"/>
        <v>116</v>
      </c>
      <c r="B119" s="11">
        <v>1006221012343</v>
      </c>
      <c r="C119" s="12" t="s">
        <v>826</v>
      </c>
      <c r="D119" s="11" t="s">
        <v>742</v>
      </c>
      <c r="E119" s="11">
        <v>16.079999999999998</v>
      </c>
      <c r="F119" s="13" t="s">
        <v>708</v>
      </c>
      <c r="G119" s="14">
        <f t="shared" si="8"/>
        <v>45576</v>
      </c>
      <c r="H119" s="15"/>
      <c r="I119" s="22">
        <v>45575</v>
      </c>
      <c r="J119" s="22"/>
      <c r="K119" s="19">
        <f t="shared" si="9"/>
        <v>1</v>
      </c>
      <c r="L119" s="22"/>
      <c r="M119" s="20">
        <f t="shared" si="5"/>
        <v>16.079999999999998</v>
      </c>
      <c r="N119" s="20"/>
      <c r="O119" s="21">
        <f t="shared" si="6"/>
        <v>0</v>
      </c>
    </row>
    <row r="120" spans="1:15" ht="30" customHeight="1">
      <c r="A120" s="10">
        <f t="shared" si="7"/>
        <v>117</v>
      </c>
      <c r="B120" s="11">
        <v>1006221012363</v>
      </c>
      <c r="C120" s="12" t="s">
        <v>827</v>
      </c>
      <c r="D120" s="11" t="s">
        <v>712</v>
      </c>
      <c r="E120" s="11">
        <v>16</v>
      </c>
      <c r="F120" s="13" t="s">
        <v>708</v>
      </c>
      <c r="G120" s="14">
        <f t="shared" si="8"/>
        <v>45576</v>
      </c>
      <c r="H120" s="15"/>
      <c r="I120" s="22">
        <v>45575</v>
      </c>
      <c r="J120" s="22"/>
      <c r="K120" s="19">
        <f t="shared" si="9"/>
        <v>1</v>
      </c>
      <c r="L120" s="22"/>
      <c r="M120" s="20">
        <f t="shared" si="5"/>
        <v>16</v>
      </c>
      <c r="N120" s="20"/>
      <c r="O120" s="21">
        <f t="shared" si="6"/>
        <v>0</v>
      </c>
    </row>
    <row r="121" spans="1:15" ht="30" customHeight="1">
      <c r="A121" s="10">
        <f t="shared" si="7"/>
        <v>118</v>
      </c>
      <c r="B121" s="11">
        <v>1006221012370</v>
      </c>
      <c r="C121" s="12" t="s">
        <v>828</v>
      </c>
      <c r="D121" s="11" t="s">
        <v>712</v>
      </c>
      <c r="E121" s="11">
        <v>8</v>
      </c>
      <c r="F121" s="13" t="s">
        <v>708</v>
      </c>
      <c r="G121" s="14">
        <f t="shared" si="8"/>
        <v>45576</v>
      </c>
      <c r="H121" s="15"/>
      <c r="I121" s="22">
        <v>45575</v>
      </c>
      <c r="J121" s="22"/>
      <c r="K121" s="19">
        <f t="shared" si="9"/>
        <v>1</v>
      </c>
      <c r="L121" s="22"/>
      <c r="M121" s="20">
        <f t="shared" si="5"/>
        <v>8</v>
      </c>
      <c r="N121" s="20"/>
      <c r="O121" s="21">
        <f t="shared" si="6"/>
        <v>0</v>
      </c>
    </row>
    <row r="122" spans="1:15" ht="30" customHeight="1">
      <c r="A122" s="10">
        <f t="shared" si="7"/>
        <v>119</v>
      </c>
      <c r="B122" s="11">
        <v>1006221012380</v>
      </c>
      <c r="C122" s="12" t="s">
        <v>829</v>
      </c>
      <c r="D122" s="11" t="s">
        <v>712</v>
      </c>
      <c r="E122" s="11">
        <v>8</v>
      </c>
      <c r="F122" s="13" t="s">
        <v>708</v>
      </c>
      <c r="G122" s="14">
        <f t="shared" si="8"/>
        <v>45576</v>
      </c>
      <c r="H122" s="15"/>
      <c r="I122" s="22">
        <v>45575</v>
      </c>
      <c r="J122" s="22"/>
      <c r="K122" s="19">
        <f t="shared" si="9"/>
        <v>1</v>
      </c>
      <c r="L122" s="22"/>
      <c r="M122" s="20">
        <f t="shared" si="5"/>
        <v>8</v>
      </c>
      <c r="N122" s="20"/>
      <c r="O122" s="21">
        <f t="shared" si="6"/>
        <v>0</v>
      </c>
    </row>
    <row r="123" spans="1:15" ht="30" customHeight="1">
      <c r="A123" s="10">
        <f t="shared" si="7"/>
        <v>120</v>
      </c>
      <c r="B123" s="11">
        <v>1006221012381</v>
      </c>
      <c r="C123" s="12" t="s">
        <v>830</v>
      </c>
      <c r="D123" s="11" t="s">
        <v>742</v>
      </c>
      <c r="E123" s="11">
        <v>117.84</v>
      </c>
      <c r="F123" s="13" t="s">
        <v>708</v>
      </c>
      <c r="G123" s="14">
        <f t="shared" si="8"/>
        <v>45576</v>
      </c>
      <c r="H123" s="15"/>
      <c r="I123" s="22">
        <v>45575</v>
      </c>
      <c r="J123" s="22"/>
      <c r="K123" s="19">
        <f t="shared" si="9"/>
        <v>1</v>
      </c>
      <c r="L123" s="22"/>
      <c r="M123" s="20">
        <f t="shared" si="5"/>
        <v>117.84</v>
      </c>
      <c r="N123" s="20"/>
      <c r="O123" s="21">
        <f t="shared" si="6"/>
        <v>0</v>
      </c>
    </row>
    <row r="124" spans="1:15" ht="30" customHeight="1">
      <c r="A124" s="10">
        <f t="shared" si="7"/>
        <v>121</v>
      </c>
      <c r="B124" s="11">
        <v>1003221012414</v>
      </c>
      <c r="C124" s="12" t="s">
        <v>831</v>
      </c>
      <c r="D124" s="11" t="s">
        <v>712</v>
      </c>
      <c r="E124" s="11">
        <v>2</v>
      </c>
      <c r="F124" s="13" t="s">
        <v>708</v>
      </c>
      <c r="G124" s="14">
        <f t="shared" si="8"/>
        <v>45576</v>
      </c>
      <c r="H124" s="15"/>
      <c r="I124" s="22">
        <v>45575</v>
      </c>
      <c r="J124" s="22"/>
      <c r="K124" s="19">
        <f t="shared" si="9"/>
        <v>1</v>
      </c>
      <c r="L124" s="22"/>
      <c r="M124" s="20">
        <f t="shared" si="5"/>
        <v>2</v>
      </c>
      <c r="N124" s="20"/>
      <c r="O124" s="21">
        <f t="shared" si="6"/>
        <v>0</v>
      </c>
    </row>
    <row r="125" spans="1:15" ht="30" customHeight="1">
      <c r="A125" s="10">
        <f t="shared" si="7"/>
        <v>122</v>
      </c>
      <c r="B125" s="11">
        <v>1006221012416</v>
      </c>
      <c r="C125" s="12" t="s">
        <v>832</v>
      </c>
      <c r="D125" s="11" t="s">
        <v>712</v>
      </c>
      <c r="E125" s="11">
        <v>2</v>
      </c>
      <c r="F125" s="13" t="s">
        <v>708</v>
      </c>
      <c r="G125" s="14">
        <f t="shared" si="8"/>
        <v>45576</v>
      </c>
      <c r="H125" s="15"/>
      <c r="I125" s="22">
        <v>45575</v>
      </c>
      <c r="J125" s="22"/>
      <c r="K125" s="19">
        <f t="shared" si="9"/>
        <v>1</v>
      </c>
      <c r="L125" s="22"/>
      <c r="M125" s="20">
        <f t="shared" si="5"/>
        <v>2</v>
      </c>
      <c r="N125" s="20"/>
      <c r="O125" s="21">
        <f t="shared" si="6"/>
        <v>0</v>
      </c>
    </row>
    <row r="126" spans="1:15" ht="30" customHeight="1">
      <c r="A126" s="10">
        <f t="shared" si="7"/>
        <v>123</v>
      </c>
      <c r="B126" s="11">
        <v>1006221012424</v>
      </c>
      <c r="C126" s="12" t="s">
        <v>833</v>
      </c>
      <c r="D126" s="11" t="s">
        <v>742</v>
      </c>
      <c r="E126" s="11">
        <v>19.7</v>
      </c>
      <c r="F126" s="13" t="s">
        <v>708</v>
      </c>
      <c r="G126" s="14">
        <f t="shared" si="8"/>
        <v>45583</v>
      </c>
      <c r="H126" s="15"/>
      <c r="I126" s="22">
        <v>45582</v>
      </c>
      <c r="J126" s="22"/>
      <c r="K126" s="19">
        <f t="shared" si="9"/>
        <v>1</v>
      </c>
      <c r="L126" s="22"/>
      <c r="M126" s="20">
        <f t="shared" si="5"/>
        <v>19.7</v>
      </c>
      <c r="N126" s="20"/>
      <c r="O126" s="21">
        <f t="shared" si="6"/>
        <v>0</v>
      </c>
    </row>
    <row r="127" spans="1:15" ht="30" customHeight="1">
      <c r="A127" s="10">
        <f t="shared" si="7"/>
        <v>124</v>
      </c>
      <c r="B127" s="11">
        <v>1006221012434</v>
      </c>
      <c r="C127" s="12" t="s">
        <v>834</v>
      </c>
      <c r="D127" s="11" t="s">
        <v>712</v>
      </c>
      <c r="E127" s="11">
        <v>2</v>
      </c>
      <c r="F127" s="13" t="s">
        <v>708</v>
      </c>
      <c r="G127" s="14">
        <f t="shared" si="8"/>
        <v>45583</v>
      </c>
      <c r="H127" s="15"/>
      <c r="I127" s="22">
        <v>45582</v>
      </c>
      <c r="J127" s="22"/>
      <c r="K127" s="19">
        <f t="shared" si="9"/>
        <v>1</v>
      </c>
      <c r="L127" s="22"/>
      <c r="M127" s="20">
        <f t="shared" si="5"/>
        <v>2</v>
      </c>
      <c r="N127" s="20"/>
      <c r="O127" s="21">
        <f t="shared" si="6"/>
        <v>0</v>
      </c>
    </row>
    <row r="128" spans="1:15" ht="30" customHeight="1">
      <c r="A128" s="10">
        <f t="shared" si="7"/>
        <v>125</v>
      </c>
      <c r="B128" s="11">
        <v>1006221012437</v>
      </c>
      <c r="C128" s="12" t="s">
        <v>835</v>
      </c>
      <c r="D128" s="11" t="s">
        <v>712</v>
      </c>
      <c r="E128" s="11">
        <v>4</v>
      </c>
      <c r="F128" s="13" t="s">
        <v>708</v>
      </c>
      <c r="G128" s="14">
        <f t="shared" si="8"/>
        <v>45583</v>
      </c>
      <c r="H128" s="15"/>
      <c r="I128" s="22">
        <v>45582</v>
      </c>
      <c r="J128" s="14"/>
      <c r="K128" s="19">
        <f t="shared" si="9"/>
        <v>1</v>
      </c>
      <c r="L128" s="22"/>
      <c r="M128" s="20">
        <f t="shared" si="5"/>
        <v>4</v>
      </c>
      <c r="N128" s="20"/>
      <c r="O128" s="21">
        <f t="shared" si="6"/>
        <v>0</v>
      </c>
    </row>
    <row r="129" spans="1:15" ht="30" customHeight="1">
      <c r="A129" s="10">
        <f t="shared" si="7"/>
        <v>126</v>
      </c>
      <c r="B129" s="11">
        <v>1003221012443</v>
      </c>
      <c r="C129" s="12" t="s">
        <v>836</v>
      </c>
      <c r="D129" s="11" t="s">
        <v>712</v>
      </c>
      <c r="E129" s="11">
        <v>2</v>
      </c>
      <c r="F129" s="13" t="s">
        <v>708</v>
      </c>
      <c r="G129" s="14">
        <f t="shared" si="8"/>
        <v>45583</v>
      </c>
      <c r="H129" s="15"/>
      <c r="I129" s="22">
        <v>45582</v>
      </c>
      <c r="J129" s="14"/>
      <c r="K129" s="19">
        <f t="shared" si="9"/>
        <v>1</v>
      </c>
      <c r="L129" s="22"/>
      <c r="M129" s="20">
        <f t="shared" si="5"/>
        <v>2</v>
      </c>
      <c r="N129" s="20"/>
      <c r="O129" s="21">
        <f t="shared" si="6"/>
        <v>0</v>
      </c>
    </row>
    <row r="130" spans="1:15" ht="30" customHeight="1">
      <c r="A130" s="10">
        <f t="shared" si="7"/>
        <v>127</v>
      </c>
      <c r="B130" s="11">
        <v>1003221012451</v>
      </c>
      <c r="C130" s="12" t="s">
        <v>837</v>
      </c>
      <c r="D130" s="11" t="s">
        <v>712</v>
      </c>
      <c r="E130" s="11">
        <v>2</v>
      </c>
      <c r="F130" s="13" t="s">
        <v>708</v>
      </c>
      <c r="G130" s="14">
        <f t="shared" si="8"/>
        <v>45569</v>
      </c>
      <c r="H130" s="15"/>
      <c r="I130" s="22">
        <v>45568</v>
      </c>
      <c r="J130" s="22"/>
      <c r="K130" s="19">
        <f t="shared" si="9"/>
        <v>1</v>
      </c>
      <c r="L130" s="22"/>
      <c r="M130" s="20">
        <f t="shared" si="5"/>
        <v>2</v>
      </c>
      <c r="N130" s="20"/>
      <c r="O130" s="21">
        <f t="shared" si="6"/>
        <v>0</v>
      </c>
    </row>
    <row r="131" spans="1:15" ht="30" customHeight="1">
      <c r="A131" s="10">
        <f t="shared" si="7"/>
        <v>128</v>
      </c>
      <c r="B131" s="11">
        <v>1006221012454</v>
      </c>
      <c r="C131" s="12" t="s">
        <v>838</v>
      </c>
      <c r="D131" s="11" t="s">
        <v>742</v>
      </c>
      <c r="E131" s="11">
        <v>29.46</v>
      </c>
      <c r="F131" s="13" t="s">
        <v>708</v>
      </c>
      <c r="G131" s="14">
        <f t="shared" si="8"/>
        <v>45583</v>
      </c>
      <c r="H131" s="15"/>
      <c r="I131" s="22">
        <v>45582</v>
      </c>
      <c r="J131" s="22"/>
      <c r="K131" s="19">
        <f t="shared" si="9"/>
        <v>1</v>
      </c>
      <c r="L131" s="22"/>
      <c r="M131" s="20">
        <f t="shared" si="5"/>
        <v>29.46</v>
      </c>
      <c r="N131" s="20"/>
      <c r="O131" s="21">
        <f t="shared" si="6"/>
        <v>0</v>
      </c>
    </row>
    <row r="132" spans="1:15" ht="30" customHeight="1">
      <c r="A132" s="10">
        <f t="shared" si="7"/>
        <v>129</v>
      </c>
      <c r="B132" s="11">
        <v>1006240706712</v>
      </c>
      <c r="C132" s="12" t="s">
        <v>839</v>
      </c>
      <c r="D132" s="11" t="s">
        <v>707</v>
      </c>
      <c r="E132" s="11">
        <v>2</v>
      </c>
      <c r="F132" s="13" t="s">
        <v>708</v>
      </c>
      <c r="G132" s="14">
        <f t="shared" si="8"/>
        <v>45583</v>
      </c>
      <c r="H132" s="15"/>
      <c r="I132" s="22">
        <v>45582</v>
      </c>
      <c r="J132" s="22"/>
      <c r="K132" s="19">
        <f t="shared" si="9"/>
        <v>1</v>
      </c>
      <c r="L132" s="22"/>
      <c r="M132" s="20">
        <f t="shared" si="5"/>
        <v>2</v>
      </c>
      <c r="N132" s="20"/>
      <c r="O132" s="21">
        <f t="shared" si="6"/>
        <v>0</v>
      </c>
    </row>
    <row r="133" spans="1:15" ht="30" customHeight="1">
      <c r="A133" s="10">
        <f t="shared" si="7"/>
        <v>130</v>
      </c>
      <c r="B133" s="11">
        <v>1001240809757</v>
      </c>
      <c r="C133" s="12" t="s">
        <v>840</v>
      </c>
      <c r="D133" s="11" t="s">
        <v>707</v>
      </c>
      <c r="E133" s="11">
        <v>3</v>
      </c>
      <c r="F133" s="13" t="s">
        <v>708</v>
      </c>
      <c r="G133" s="14">
        <f t="shared" si="8"/>
        <v>45569</v>
      </c>
      <c r="H133" s="15"/>
      <c r="I133" s="22">
        <v>45568</v>
      </c>
      <c r="J133" s="22"/>
      <c r="K133" s="19">
        <f t="shared" si="9"/>
        <v>1</v>
      </c>
      <c r="L133" s="22"/>
      <c r="M133" s="20">
        <f t="shared" ref="M133:M196" si="10">+E133</f>
        <v>3</v>
      </c>
      <c r="N133" s="20"/>
      <c r="O133" s="21">
        <f t="shared" ref="O133:O196" si="11">IFERROR(N133/M133,"")</f>
        <v>0</v>
      </c>
    </row>
    <row r="134" spans="1:15" ht="30" customHeight="1">
      <c r="A134" s="10">
        <f t="shared" ref="A134:A197" si="12">+A133+1</f>
        <v>131</v>
      </c>
      <c r="B134" s="11">
        <v>1001240809760</v>
      </c>
      <c r="C134" s="12" t="s">
        <v>841</v>
      </c>
      <c r="D134" s="11" t="s">
        <v>707</v>
      </c>
      <c r="E134" s="11">
        <v>1</v>
      </c>
      <c r="F134" s="13" t="s">
        <v>708</v>
      </c>
      <c r="G134" s="14">
        <f t="shared" ref="G134:G197" si="13">+I134-H134+1</f>
        <v>45569</v>
      </c>
      <c r="H134" s="15"/>
      <c r="I134" s="22">
        <v>45568</v>
      </c>
      <c r="J134" s="22"/>
      <c r="K134" s="19">
        <f t="shared" ref="K134:K197" si="14">+L134-J134+1</f>
        <v>1</v>
      </c>
      <c r="L134" s="22"/>
      <c r="M134" s="20">
        <f t="shared" si="10"/>
        <v>1</v>
      </c>
      <c r="N134" s="20"/>
      <c r="O134" s="21">
        <f t="shared" si="11"/>
        <v>0</v>
      </c>
    </row>
    <row r="135" spans="1:15" ht="30" customHeight="1">
      <c r="A135" s="10">
        <f t="shared" si="12"/>
        <v>132</v>
      </c>
      <c r="B135" s="11">
        <v>1006221012444</v>
      </c>
      <c r="C135" s="12" t="s">
        <v>842</v>
      </c>
      <c r="D135" s="11" t="s">
        <v>712</v>
      </c>
      <c r="E135" s="11">
        <v>2</v>
      </c>
      <c r="F135" s="13" t="s">
        <v>708</v>
      </c>
      <c r="G135" s="14">
        <f t="shared" si="13"/>
        <v>45570</v>
      </c>
      <c r="H135" s="15"/>
      <c r="I135" s="22">
        <v>45569</v>
      </c>
      <c r="J135" s="22"/>
      <c r="K135" s="19">
        <f t="shared" si="14"/>
        <v>1</v>
      </c>
      <c r="L135" s="22"/>
      <c r="M135" s="20">
        <f t="shared" si="10"/>
        <v>2</v>
      </c>
      <c r="N135" s="20"/>
      <c r="O135" s="21">
        <f t="shared" si="11"/>
        <v>0</v>
      </c>
    </row>
    <row r="136" spans="1:15" ht="30" customHeight="1">
      <c r="A136" s="10">
        <f t="shared" si="12"/>
        <v>133</v>
      </c>
      <c r="B136" s="11">
        <v>1006221012452</v>
      </c>
      <c r="C136" s="12" t="s">
        <v>843</v>
      </c>
      <c r="D136" s="11" t="s">
        <v>712</v>
      </c>
      <c r="E136" s="11">
        <v>2</v>
      </c>
      <c r="F136" s="13" t="s">
        <v>708</v>
      </c>
      <c r="G136" s="14">
        <f t="shared" si="13"/>
        <v>45570</v>
      </c>
      <c r="H136" s="15"/>
      <c r="I136" s="22">
        <v>45569</v>
      </c>
      <c r="J136" s="22"/>
      <c r="K136" s="19">
        <f t="shared" si="14"/>
        <v>1</v>
      </c>
      <c r="L136" s="22"/>
      <c r="M136" s="20">
        <f t="shared" si="10"/>
        <v>2</v>
      </c>
      <c r="N136" s="20"/>
      <c r="O136" s="21">
        <f t="shared" si="11"/>
        <v>0</v>
      </c>
    </row>
    <row r="137" spans="1:15" ht="30" customHeight="1">
      <c r="A137" s="10">
        <f t="shared" si="12"/>
        <v>134</v>
      </c>
      <c r="B137" s="11">
        <v>1006221215333</v>
      </c>
      <c r="C137" s="12" t="s">
        <v>844</v>
      </c>
      <c r="D137" s="11" t="s">
        <v>712</v>
      </c>
      <c r="E137" s="11">
        <v>1</v>
      </c>
      <c r="F137" s="13" t="s">
        <v>708</v>
      </c>
      <c r="G137" s="14">
        <f t="shared" si="13"/>
        <v>45570</v>
      </c>
      <c r="H137" s="15"/>
      <c r="I137" s="22">
        <v>45569</v>
      </c>
      <c r="J137" s="22"/>
      <c r="K137" s="19">
        <f t="shared" si="14"/>
        <v>1</v>
      </c>
      <c r="L137" s="22"/>
      <c r="M137" s="20">
        <f t="shared" si="10"/>
        <v>1</v>
      </c>
      <c r="N137" s="20"/>
      <c r="O137" s="21">
        <f t="shared" si="11"/>
        <v>0</v>
      </c>
    </row>
    <row r="138" spans="1:15" ht="30" customHeight="1">
      <c r="A138" s="10">
        <f t="shared" si="12"/>
        <v>135</v>
      </c>
      <c r="B138" s="11">
        <v>1001221215330</v>
      </c>
      <c r="C138" s="12" t="s">
        <v>845</v>
      </c>
      <c r="D138" s="11" t="s">
        <v>712</v>
      </c>
      <c r="E138" s="11">
        <v>2</v>
      </c>
      <c r="F138" s="13" t="s">
        <v>708</v>
      </c>
      <c r="G138" s="14">
        <f t="shared" si="13"/>
        <v>45569</v>
      </c>
      <c r="H138" s="15"/>
      <c r="I138" s="22">
        <v>45568</v>
      </c>
      <c r="J138" s="22"/>
      <c r="K138" s="19">
        <f t="shared" si="14"/>
        <v>1</v>
      </c>
      <c r="L138" s="22"/>
      <c r="M138" s="20">
        <f t="shared" si="10"/>
        <v>2</v>
      </c>
      <c r="N138" s="20"/>
      <c r="O138" s="21">
        <f t="shared" si="11"/>
        <v>0</v>
      </c>
    </row>
    <row r="139" spans="1:15" ht="30" customHeight="1">
      <c r="A139" s="10">
        <f t="shared" si="12"/>
        <v>136</v>
      </c>
      <c r="B139" s="11">
        <v>1001221215337</v>
      </c>
      <c r="C139" s="12" t="s">
        <v>846</v>
      </c>
      <c r="D139" s="11" t="s">
        <v>712</v>
      </c>
      <c r="E139" s="11">
        <v>2</v>
      </c>
      <c r="F139" s="13" t="s">
        <v>708</v>
      </c>
      <c r="G139" s="14">
        <f t="shared" si="13"/>
        <v>45571</v>
      </c>
      <c r="H139" s="15"/>
      <c r="I139" s="22">
        <v>45570</v>
      </c>
      <c r="J139" s="22"/>
      <c r="K139" s="19">
        <f t="shared" si="14"/>
        <v>1</v>
      </c>
      <c r="L139" s="22"/>
      <c r="M139" s="20">
        <f t="shared" si="10"/>
        <v>2</v>
      </c>
      <c r="N139" s="20"/>
      <c r="O139" s="21">
        <f t="shared" si="11"/>
        <v>0</v>
      </c>
    </row>
    <row r="140" spans="1:15" ht="30" customHeight="1">
      <c r="A140" s="10">
        <f t="shared" si="12"/>
        <v>137</v>
      </c>
      <c r="B140" s="11">
        <v>1006240606253</v>
      </c>
      <c r="C140" s="12" t="s">
        <v>847</v>
      </c>
      <c r="D140" s="11" t="s">
        <v>707</v>
      </c>
      <c r="E140" s="11">
        <v>2</v>
      </c>
      <c r="F140" s="13" t="s">
        <v>708</v>
      </c>
      <c r="G140" s="14">
        <f t="shared" si="13"/>
        <v>45571</v>
      </c>
      <c r="H140" s="15"/>
      <c r="I140" s="22">
        <v>45570</v>
      </c>
      <c r="J140" s="14"/>
      <c r="K140" s="19">
        <f t="shared" si="14"/>
        <v>1</v>
      </c>
      <c r="L140" s="22"/>
      <c r="M140" s="20">
        <f t="shared" si="10"/>
        <v>2</v>
      </c>
      <c r="N140" s="20"/>
      <c r="O140" s="21">
        <f t="shared" si="11"/>
        <v>0</v>
      </c>
    </row>
    <row r="141" spans="1:15" ht="30" customHeight="1">
      <c r="A141" s="10">
        <f t="shared" si="12"/>
        <v>138</v>
      </c>
      <c r="B141" s="11">
        <v>1004220404602</v>
      </c>
      <c r="C141" s="12" t="s">
        <v>848</v>
      </c>
      <c r="D141" s="11" t="s">
        <v>712</v>
      </c>
      <c r="E141" s="11">
        <v>1</v>
      </c>
      <c r="F141" s="13" t="s">
        <v>708</v>
      </c>
      <c r="G141" s="14">
        <f t="shared" si="13"/>
        <v>45571</v>
      </c>
      <c r="H141" s="15"/>
      <c r="I141" s="22">
        <v>45570</v>
      </c>
      <c r="J141" s="22"/>
      <c r="K141" s="19">
        <f t="shared" si="14"/>
        <v>1</v>
      </c>
      <c r="L141" s="22"/>
      <c r="M141" s="20">
        <f t="shared" si="10"/>
        <v>1</v>
      </c>
      <c r="N141" s="20"/>
      <c r="O141" s="21">
        <f t="shared" si="11"/>
        <v>0</v>
      </c>
    </row>
    <row r="142" spans="1:15" ht="30" customHeight="1">
      <c r="A142" s="10">
        <f t="shared" si="12"/>
        <v>139</v>
      </c>
      <c r="B142" s="11">
        <v>1002230100051</v>
      </c>
      <c r="C142" s="12" t="s">
        <v>849</v>
      </c>
      <c r="D142" s="11" t="s">
        <v>712</v>
      </c>
      <c r="E142" s="11">
        <v>4</v>
      </c>
      <c r="F142" s="13" t="s">
        <v>708</v>
      </c>
      <c r="G142" s="14">
        <f t="shared" si="13"/>
        <v>45569</v>
      </c>
      <c r="H142" s="15"/>
      <c r="I142" s="22">
        <v>45568</v>
      </c>
      <c r="J142" s="22"/>
      <c r="K142" s="19">
        <f t="shared" si="14"/>
        <v>1</v>
      </c>
      <c r="L142" s="22"/>
      <c r="M142" s="20">
        <f t="shared" si="10"/>
        <v>4</v>
      </c>
      <c r="N142" s="20"/>
      <c r="O142" s="21">
        <f t="shared" si="11"/>
        <v>0</v>
      </c>
    </row>
    <row r="143" spans="1:15" ht="30" customHeight="1">
      <c r="A143" s="10">
        <f t="shared" si="12"/>
        <v>140</v>
      </c>
      <c r="B143" s="11">
        <v>1002230100052</v>
      </c>
      <c r="C143" s="12" t="s">
        <v>850</v>
      </c>
      <c r="D143" s="11" t="s">
        <v>712</v>
      </c>
      <c r="E143" s="11">
        <v>4</v>
      </c>
      <c r="F143" s="13" t="s">
        <v>708</v>
      </c>
      <c r="G143" s="14">
        <f t="shared" si="13"/>
        <v>45575</v>
      </c>
      <c r="H143" s="15"/>
      <c r="I143" s="22">
        <v>45574</v>
      </c>
      <c r="J143" s="22"/>
      <c r="K143" s="19">
        <f t="shared" si="14"/>
        <v>1</v>
      </c>
      <c r="L143" s="22"/>
      <c r="M143" s="20">
        <f t="shared" si="10"/>
        <v>4</v>
      </c>
      <c r="N143" s="20"/>
      <c r="O143" s="21">
        <f t="shared" si="11"/>
        <v>0</v>
      </c>
    </row>
    <row r="144" spans="1:15" ht="30" customHeight="1">
      <c r="A144" s="10">
        <f t="shared" si="12"/>
        <v>141</v>
      </c>
      <c r="B144" s="11">
        <v>1004230100044</v>
      </c>
      <c r="C144" s="12" t="s">
        <v>851</v>
      </c>
      <c r="D144" s="11" t="s">
        <v>712</v>
      </c>
      <c r="E144" s="11">
        <v>4</v>
      </c>
      <c r="F144" s="13" t="s">
        <v>708</v>
      </c>
      <c r="G144" s="14">
        <f t="shared" si="13"/>
        <v>45575</v>
      </c>
      <c r="H144" s="15"/>
      <c r="I144" s="22">
        <v>45574</v>
      </c>
      <c r="J144" s="22"/>
      <c r="K144" s="19">
        <f t="shared" si="14"/>
        <v>1</v>
      </c>
      <c r="L144" s="22"/>
      <c r="M144" s="20">
        <f t="shared" si="10"/>
        <v>4</v>
      </c>
      <c r="N144" s="20"/>
      <c r="O144" s="21">
        <f t="shared" si="11"/>
        <v>0</v>
      </c>
    </row>
    <row r="145" spans="1:15" ht="30" customHeight="1">
      <c r="A145" s="10">
        <f t="shared" si="12"/>
        <v>142</v>
      </c>
      <c r="B145" s="11">
        <v>1004230100055</v>
      </c>
      <c r="C145" s="12" t="s">
        <v>852</v>
      </c>
      <c r="D145" s="11" t="s">
        <v>712</v>
      </c>
      <c r="E145" s="11">
        <v>4</v>
      </c>
      <c r="F145" s="13" t="s">
        <v>708</v>
      </c>
      <c r="G145" s="14">
        <f t="shared" si="13"/>
        <v>45575</v>
      </c>
      <c r="H145" s="15"/>
      <c r="I145" s="22">
        <v>45574</v>
      </c>
      <c r="J145" s="22"/>
      <c r="K145" s="19">
        <f t="shared" si="14"/>
        <v>1</v>
      </c>
      <c r="L145" s="22"/>
      <c r="M145" s="20">
        <f t="shared" si="10"/>
        <v>4</v>
      </c>
      <c r="N145" s="20"/>
      <c r="O145" s="21">
        <f t="shared" si="11"/>
        <v>0</v>
      </c>
    </row>
    <row r="146" spans="1:15" ht="30" customHeight="1">
      <c r="A146" s="10">
        <f t="shared" si="12"/>
        <v>143</v>
      </c>
      <c r="B146" s="11">
        <v>1007220808699</v>
      </c>
      <c r="C146" s="12" t="s">
        <v>853</v>
      </c>
      <c r="D146" s="11" t="s">
        <v>742</v>
      </c>
      <c r="E146" s="11">
        <v>182</v>
      </c>
      <c r="F146" s="13" t="s">
        <v>708</v>
      </c>
      <c r="G146" s="14">
        <f t="shared" si="13"/>
        <v>45571</v>
      </c>
      <c r="H146" s="15"/>
      <c r="I146" s="22">
        <v>45570</v>
      </c>
      <c r="J146" s="22"/>
      <c r="K146" s="19">
        <f t="shared" si="14"/>
        <v>1</v>
      </c>
      <c r="L146" s="22"/>
      <c r="M146" s="20">
        <f t="shared" si="10"/>
        <v>182</v>
      </c>
      <c r="N146" s="20"/>
      <c r="O146" s="21">
        <f t="shared" si="11"/>
        <v>0</v>
      </c>
    </row>
    <row r="147" spans="1:15" ht="30" customHeight="1">
      <c r="A147" s="10">
        <f t="shared" si="12"/>
        <v>144</v>
      </c>
      <c r="B147" s="11">
        <v>1007220809377</v>
      </c>
      <c r="C147" s="12" t="s">
        <v>854</v>
      </c>
      <c r="D147" s="11" t="s">
        <v>742</v>
      </c>
      <c r="E147" s="11">
        <v>12.28</v>
      </c>
      <c r="F147" s="13" t="s">
        <v>708</v>
      </c>
      <c r="G147" s="14">
        <f t="shared" si="13"/>
        <v>45571</v>
      </c>
      <c r="H147" s="15"/>
      <c r="I147" s="22">
        <v>45570</v>
      </c>
      <c r="J147" s="22"/>
      <c r="K147" s="19">
        <f t="shared" si="14"/>
        <v>1</v>
      </c>
      <c r="L147" s="22"/>
      <c r="M147" s="20">
        <f t="shared" si="10"/>
        <v>12.28</v>
      </c>
      <c r="N147" s="20"/>
      <c r="O147" s="21">
        <f t="shared" si="11"/>
        <v>0</v>
      </c>
    </row>
    <row r="148" spans="1:15" ht="30" customHeight="1">
      <c r="A148" s="10">
        <f t="shared" si="12"/>
        <v>145</v>
      </c>
      <c r="B148" s="11">
        <v>1007220808645</v>
      </c>
      <c r="C148" s="12" t="s">
        <v>855</v>
      </c>
      <c r="D148" s="11" t="s">
        <v>766</v>
      </c>
      <c r="E148" s="11">
        <v>23.39</v>
      </c>
      <c r="F148" s="13" t="s">
        <v>708</v>
      </c>
      <c r="G148" s="14">
        <f t="shared" si="13"/>
        <v>45576</v>
      </c>
      <c r="H148" s="15"/>
      <c r="I148" s="22">
        <v>45575</v>
      </c>
      <c r="J148" s="22"/>
      <c r="K148" s="19">
        <f t="shared" si="14"/>
        <v>1</v>
      </c>
      <c r="L148" s="22"/>
      <c r="M148" s="20">
        <f t="shared" si="10"/>
        <v>23.39</v>
      </c>
      <c r="N148" s="20"/>
      <c r="O148" s="21">
        <f t="shared" si="11"/>
        <v>0</v>
      </c>
    </row>
    <row r="149" spans="1:15" ht="30" customHeight="1">
      <c r="A149" s="10">
        <f t="shared" si="12"/>
        <v>146</v>
      </c>
      <c r="B149" s="11">
        <v>1007221012319</v>
      </c>
      <c r="C149" s="12" t="s">
        <v>856</v>
      </c>
      <c r="D149" s="11" t="s">
        <v>712</v>
      </c>
      <c r="E149" s="11">
        <v>8</v>
      </c>
      <c r="F149" s="13" t="s">
        <v>708</v>
      </c>
      <c r="G149" s="14">
        <f t="shared" si="13"/>
        <v>45576</v>
      </c>
      <c r="H149" s="15"/>
      <c r="I149" s="22">
        <v>45575</v>
      </c>
      <c r="J149" s="22"/>
      <c r="K149" s="19">
        <f t="shared" si="14"/>
        <v>1</v>
      </c>
      <c r="L149" s="22"/>
      <c r="M149" s="20">
        <f t="shared" si="10"/>
        <v>8</v>
      </c>
      <c r="N149" s="20"/>
      <c r="O149" s="21">
        <f t="shared" si="11"/>
        <v>0</v>
      </c>
    </row>
    <row r="150" spans="1:15" ht="30" customHeight="1">
      <c r="A150" s="10">
        <f t="shared" si="12"/>
        <v>147</v>
      </c>
      <c r="B150" s="11">
        <v>1007221012326</v>
      </c>
      <c r="C150" s="12" t="s">
        <v>857</v>
      </c>
      <c r="D150" s="11" t="s">
        <v>712</v>
      </c>
      <c r="E150" s="11">
        <v>8</v>
      </c>
      <c r="F150" s="13" t="s">
        <v>708</v>
      </c>
      <c r="G150" s="14">
        <f t="shared" si="13"/>
        <v>45576</v>
      </c>
      <c r="H150" s="15"/>
      <c r="I150" s="22">
        <v>45575</v>
      </c>
      <c r="J150" s="14"/>
      <c r="K150" s="19">
        <f t="shared" si="14"/>
        <v>1</v>
      </c>
      <c r="L150" s="22"/>
      <c r="M150" s="20">
        <f t="shared" si="10"/>
        <v>8</v>
      </c>
      <c r="N150" s="20"/>
      <c r="O150" s="21">
        <f t="shared" si="11"/>
        <v>0</v>
      </c>
    </row>
    <row r="151" spans="1:15" ht="30" customHeight="1">
      <c r="A151" s="10">
        <f t="shared" si="12"/>
        <v>148</v>
      </c>
      <c r="B151" s="11">
        <v>1007221012329</v>
      </c>
      <c r="C151" s="12" t="s">
        <v>858</v>
      </c>
      <c r="D151" s="11" t="s">
        <v>712</v>
      </c>
      <c r="E151" s="11">
        <v>8</v>
      </c>
      <c r="F151" s="13" t="s">
        <v>708</v>
      </c>
      <c r="G151" s="14">
        <f t="shared" si="13"/>
        <v>45576</v>
      </c>
      <c r="H151" s="15"/>
      <c r="I151" s="22">
        <v>45575</v>
      </c>
      <c r="J151" s="22"/>
      <c r="K151" s="19">
        <f t="shared" si="14"/>
        <v>1</v>
      </c>
      <c r="L151" s="22"/>
      <c r="M151" s="20">
        <f t="shared" si="10"/>
        <v>8</v>
      </c>
      <c r="N151" s="20"/>
      <c r="O151" s="21">
        <f t="shared" si="11"/>
        <v>0</v>
      </c>
    </row>
    <row r="152" spans="1:15" ht="30" customHeight="1">
      <c r="A152" s="10">
        <f t="shared" si="12"/>
        <v>149</v>
      </c>
      <c r="B152" s="11">
        <v>1007221012393</v>
      </c>
      <c r="C152" s="12" t="s">
        <v>859</v>
      </c>
      <c r="D152" s="11" t="s">
        <v>712</v>
      </c>
      <c r="E152" s="11">
        <v>2</v>
      </c>
      <c r="F152" s="13" t="s">
        <v>708</v>
      </c>
      <c r="G152" s="14">
        <f t="shared" si="13"/>
        <v>45576</v>
      </c>
      <c r="H152" s="15"/>
      <c r="I152" s="22">
        <v>45575</v>
      </c>
      <c r="J152" s="22"/>
      <c r="K152" s="19">
        <f t="shared" si="14"/>
        <v>1</v>
      </c>
      <c r="L152" s="22"/>
      <c r="M152" s="20">
        <f t="shared" si="10"/>
        <v>2</v>
      </c>
      <c r="N152" s="20"/>
      <c r="O152" s="21">
        <f t="shared" si="11"/>
        <v>0</v>
      </c>
    </row>
    <row r="153" spans="1:15" ht="30" customHeight="1">
      <c r="A153" s="10">
        <f t="shared" si="12"/>
        <v>150</v>
      </c>
      <c r="B153" s="11">
        <v>1007221012400</v>
      </c>
      <c r="C153" s="12" t="s">
        <v>860</v>
      </c>
      <c r="D153" s="11" t="s">
        <v>712</v>
      </c>
      <c r="E153" s="11">
        <v>2</v>
      </c>
      <c r="F153" s="13" t="s">
        <v>708</v>
      </c>
      <c r="G153" s="14">
        <f t="shared" si="13"/>
        <v>45576</v>
      </c>
      <c r="H153" s="15"/>
      <c r="I153" s="22">
        <v>45575</v>
      </c>
      <c r="J153" s="14"/>
      <c r="K153" s="19">
        <f t="shared" si="14"/>
        <v>1</v>
      </c>
      <c r="L153" s="22"/>
      <c r="M153" s="20">
        <f t="shared" si="10"/>
        <v>2</v>
      </c>
      <c r="N153" s="20"/>
      <c r="O153" s="21">
        <f t="shared" si="11"/>
        <v>0</v>
      </c>
    </row>
    <row r="154" spans="1:15" ht="30" customHeight="1">
      <c r="A154" s="10">
        <f t="shared" si="12"/>
        <v>151</v>
      </c>
      <c r="B154" s="11">
        <v>1007221012403</v>
      </c>
      <c r="C154" s="12" t="s">
        <v>861</v>
      </c>
      <c r="D154" s="11" t="s">
        <v>712</v>
      </c>
      <c r="E154" s="11">
        <v>2</v>
      </c>
      <c r="F154" s="13" t="s">
        <v>708</v>
      </c>
      <c r="G154" s="14">
        <f t="shared" si="13"/>
        <v>45576</v>
      </c>
      <c r="H154" s="15"/>
      <c r="I154" s="22">
        <v>45575</v>
      </c>
      <c r="J154" s="22"/>
      <c r="K154" s="19">
        <f t="shared" si="14"/>
        <v>1</v>
      </c>
      <c r="L154" s="22"/>
      <c r="M154" s="20">
        <f t="shared" si="10"/>
        <v>2</v>
      </c>
      <c r="N154" s="20"/>
      <c r="O154" s="21">
        <f t="shared" si="11"/>
        <v>0</v>
      </c>
    </row>
    <row r="155" spans="1:15" ht="30" customHeight="1">
      <c r="A155" s="10">
        <f t="shared" si="12"/>
        <v>152</v>
      </c>
      <c r="B155" s="11">
        <v>1007221215298</v>
      </c>
      <c r="C155" s="12" t="s">
        <v>862</v>
      </c>
      <c r="D155" s="11" t="s">
        <v>712</v>
      </c>
      <c r="E155" s="11">
        <v>2</v>
      </c>
      <c r="F155" s="13" t="s">
        <v>708</v>
      </c>
      <c r="G155" s="14">
        <f t="shared" si="13"/>
        <v>45576</v>
      </c>
      <c r="H155" s="15"/>
      <c r="I155" s="22">
        <v>45575</v>
      </c>
      <c r="J155" s="22"/>
      <c r="K155" s="19">
        <f t="shared" si="14"/>
        <v>1</v>
      </c>
      <c r="L155" s="22"/>
      <c r="M155" s="20">
        <f t="shared" si="10"/>
        <v>2</v>
      </c>
      <c r="N155" s="20"/>
      <c r="O155" s="21">
        <f t="shared" si="11"/>
        <v>0</v>
      </c>
    </row>
    <row r="156" spans="1:15" ht="30" customHeight="1">
      <c r="A156" s="10">
        <f t="shared" si="12"/>
        <v>153</v>
      </c>
      <c r="B156" s="11">
        <v>1003221012340</v>
      </c>
      <c r="C156" s="12" t="s">
        <v>863</v>
      </c>
      <c r="D156" s="11" t="s">
        <v>712</v>
      </c>
      <c r="E156" s="11">
        <v>8</v>
      </c>
      <c r="F156" s="13" t="s">
        <v>708</v>
      </c>
      <c r="G156" s="14">
        <f t="shared" si="13"/>
        <v>45576</v>
      </c>
      <c r="H156" s="15"/>
      <c r="I156" s="22">
        <v>45575</v>
      </c>
      <c r="J156" s="22"/>
      <c r="K156" s="19">
        <f t="shared" si="14"/>
        <v>1</v>
      </c>
      <c r="L156" s="22"/>
      <c r="M156" s="20">
        <f t="shared" si="10"/>
        <v>8</v>
      </c>
      <c r="N156" s="20"/>
      <c r="O156" s="21">
        <f t="shared" si="11"/>
        <v>0</v>
      </c>
    </row>
    <row r="157" spans="1:15" ht="30" customHeight="1">
      <c r="A157" s="10">
        <f t="shared" si="12"/>
        <v>154</v>
      </c>
      <c r="B157" s="11">
        <v>1002240503930</v>
      </c>
      <c r="C157" s="12" t="s">
        <v>864</v>
      </c>
      <c r="D157" s="11" t="s">
        <v>712</v>
      </c>
      <c r="E157" s="11">
        <v>123</v>
      </c>
      <c r="F157" s="13" t="s">
        <v>708</v>
      </c>
      <c r="G157" s="14">
        <f t="shared" si="13"/>
        <v>45576</v>
      </c>
      <c r="H157" s="15"/>
      <c r="I157" s="22">
        <v>45575</v>
      </c>
      <c r="J157" s="22"/>
      <c r="K157" s="19">
        <f t="shared" si="14"/>
        <v>1</v>
      </c>
      <c r="L157" s="22"/>
      <c r="M157" s="20">
        <f t="shared" si="10"/>
        <v>123</v>
      </c>
      <c r="N157" s="20"/>
      <c r="O157" s="21">
        <f t="shared" si="11"/>
        <v>0</v>
      </c>
    </row>
    <row r="158" spans="1:15" ht="30" customHeight="1">
      <c r="A158" s="10">
        <f t="shared" si="12"/>
        <v>155</v>
      </c>
      <c r="B158" s="11">
        <v>1002240503931</v>
      </c>
      <c r="C158" s="12" t="s">
        <v>865</v>
      </c>
      <c r="D158" s="11" t="s">
        <v>712</v>
      </c>
      <c r="E158" s="11">
        <v>101</v>
      </c>
      <c r="F158" s="13" t="s">
        <v>708</v>
      </c>
      <c r="G158" s="14">
        <f t="shared" si="13"/>
        <v>45583</v>
      </c>
      <c r="H158" s="15"/>
      <c r="I158" s="22">
        <v>45582</v>
      </c>
      <c r="J158" s="22"/>
      <c r="K158" s="19">
        <f t="shared" si="14"/>
        <v>1</v>
      </c>
      <c r="L158" s="22"/>
      <c r="M158" s="20">
        <f t="shared" si="10"/>
        <v>101</v>
      </c>
      <c r="N158" s="20"/>
      <c r="O158" s="21">
        <f t="shared" si="11"/>
        <v>0</v>
      </c>
    </row>
    <row r="159" spans="1:15" ht="30" customHeight="1">
      <c r="A159" s="10">
        <f t="shared" si="12"/>
        <v>156</v>
      </c>
      <c r="B159" s="11">
        <v>1003240604469</v>
      </c>
      <c r="C159" s="12" t="s">
        <v>866</v>
      </c>
      <c r="D159" s="11" t="s">
        <v>712</v>
      </c>
      <c r="E159" s="11">
        <v>1</v>
      </c>
      <c r="F159" s="13" t="s">
        <v>708</v>
      </c>
      <c r="G159" s="14">
        <f t="shared" si="13"/>
        <v>45583</v>
      </c>
      <c r="H159" s="15"/>
      <c r="I159" s="22">
        <v>45582</v>
      </c>
      <c r="J159" s="22"/>
      <c r="K159" s="19">
        <f t="shared" si="14"/>
        <v>1</v>
      </c>
      <c r="L159" s="22"/>
      <c r="M159" s="20">
        <f t="shared" si="10"/>
        <v>1</v>
      </c>
      <c r="N159" s="20"/>
      <c r="O159" s="21">
        <f t="shared" si="11"/>
        <v>0</v>
      </c>
    </row>
    <row r="160" spans="1:15" ht="30" customHeight="1">
      <c r="A160" s="10">
        <f t="shared" si="12"/>
        <v>157</v>
      </c>
      <c r="B160" s="11">
        <v>1003240604470</v>
      </c>
      <c r="C160" s="12" t="s">
        <v>867</v>
      </c>
      <c r="D160" s="11" t="s">
        <v>712</v>
      </c>
      <c r="E160" s="11">
        <v>1</v>
      </c>
      <c r="F160" s="13" t="s">
        <v>708</v>
      </c>
      <c r="G160" s="14">
        <f t="shared" si="13"/>
        <v>45583</v>
      </c>
      <c r="H160" s="15"/>
      <c r="I160" s="22">
        <v>45582</v>
      </c>
      <c r="J160" s="22"/>
      <c r="K160" s="19">
        <f t="shared" si="14"/>
        <v>1</v>
      </c>
      <c r="L160" s="22"/>
      <c r="M160" s="20">
        <f t="shared" si="10"/>
        <v>1</v>
      </c>
      <c r="N160" s="20"/>
      <c r="O160" s="21">
        <f t="shared" si="11"/>
        <v>0</v>
      </c>
    </row>
    <row r="161" spans="1:15" ht="30" customHeight="1">
      <c r="A161" s="10">
        <f t="shared" si="12"/>
        <v>158</v>
      </c>
      <c r="B161" s="11">
        <v>1003240604471</v>
      </c>
      <c r="C161" s="12" t="s">
        <v>868</v>
      </c>
      <c r="D161" s="11" t="s">
        <v>712</v>
      </c>
      <c r="E161" s="11">
        <v>1</v>
      </c>
      <c r="F161" s="13" t="s">
        <v>708</v>
      </c>
      <c r="G161" s="14">
        <f t="shared" si="13"/>
        <v>45583</v>
      </c>
      <c r="H161" s="15"/>
      <c r="I161" s="22">
        <v>45582</v>
      </c>
      <c r="J161" s="22"/>
      <c r="K161" s="19">
        <f t="shared" si="14"/>
        <v>1</v>
      </c>
      <c r="L161" s="22"/>
      <c r="M161" s="20">
        <f t="shared" si="10"/>
        <v>1</v>
      </c>
      <c r="N161" s="20"/>
      <c r="O161" s="21">
        <f t="shared" si="11"/>
        <v>0</v>
      </c>
    </row>
    <row r="162" spans="1:15" ht="30" customHeight="1">
      <c r="A162" s="10">
        <f t="shared" si="12"/>
        <v>159</v>
      </c>
      <c r="B162" s="11">
        <v>1003240605036</v>
      </c>
      <c r="C162" s="12" t="s">
        <v>869</v>
      </c>
      <c r="D162" s="11" t="s">
        <v>712</v>
      </c>
      <c r="E162" s="11">
        <v>1</v>
      </c>
      <c r="F162" s="13" t="s">
        <v>708</v>
      </c>
      <c r="G162" s="14">
        <f t="shared" si="13"/>
        <v>45569</v>
      </c>
      <c r="H162" s="15"/>
      <c r="I162" s="22">
        <v>45568</v>
      </c>
      <c r="J162" s="22"/>
      <c r="K162" s="19">
        <f t="shared" si="14"/>
        <v>1</v>
      </c>
      <c r="L162" s="22"/>
      <c r="M162" s="20">
        <f t="shared" si="10"/>
        <v>1</v>
      </c>
      <c r="N162" s="20"/>
      <c r="O162" s="21">
        <f t="shared" si="11"/>
        <v>0</v>
      </c>
    </row>
    <row r="163" spans="1:15" ht="30" customHeight="1">
      <c r="A163" s="10">
        <f t="shared" si="12"/>
        <v>160</v>
      </c>
      <c r="B163" s="11">
        <v>1004240605037</v>
      </c>
      <c r="C163" s="12" t="s">
        <v>870</v>
      </c>
      <c r="D163" s="11" t="s">
        <v>712</v>
      </c>
      <c r="E163" s="11">
        <v>1</v>
      </c>
      <c r="F163" s="13" t="s">
        <v>708</v>
      </c>
      <c r="G163" s="14">
        <f t="shared" si="13"/>
        <v>45583</v>
      </c>
      <c r="H163" s="15"/>
      <c r="I163" s="22">
        <v>45582</v>
      </c>
      <c r="J163" s="22"/>
      <c r="K163" s="19">
        <f t="shared" si="14"/>
        <v>1</v>
      </c>
      <c r="L163" s="22"/>
      <c r="M163" s="20">
        <f t="shared" si="10"/>
        <v>1</v>
      </c>
      <c r="N163" s="20"/>
      <c r="O163" s="21">
        <f t="shared" si="11"/>
        <v>0</v>
      </c>
    </row>
    <row r="164" spans="1:15" ht="30" customHeight="1">
      <c r="A164" s="10">
        <f t="shared" si="12"/>
        <v>161</v>
      </c>
      <c r="B164" s="11">
        <v>1001240605039</v>
      </c>
      <c r="C164" s="12" t="s">
        <v>871</v>
      </c>
      <c r="D164" s="11" t="s">
        <v>712</v>
      </c>
      <c r="E164" s="11">
        <v>1</v>
      </c>
      <c r="F164" s="13" t="s">
        <v>708</v>
      </c>
      <c r="G164" s="14">
        <f t="shared" si="13"/>
        <v>45569</v>
      </c>
      <c r="H164" s="15"/>
      <c r="I164" s="22">
        <v>45568</v>
      </c>
      <c r="J164" s="14"/>
      <c r="K164" s="19">
        <f t="shared" si="14"/>
        <v>1</v>
      </c>
      <c r="L164" s="22"/>
      <c r="M164" s="20">
        <f t="shared" si="10"/>
        <v>1</v>
      </c>
      <c r="N164" s="20"/>
      <c r="O164" s="21">
        <f t="shared" si="11"/>
        <v>0</v>
      </c>
    </row>
    <row r="165" spans="1:15" ht="30" customHeight="1">
      <c r="A165" s="10">
        <f t="shared" si="12"/>
        <v>162</v>
      </c>
      <c r="B165" s="11">
        <v>1001240605041</v>
      </c>
      <c r="C165" s="12" t="s">
        <v>872</v>
      </c>
      <c r="D165" s="11" t="s">
        <v>712</v>
      </c>
      <c r="E165" s="11">
        <v>1</v>
      </c>
      <c r="F165" s="13" t="s">
        <v>708</v>
      </c>
      <c r="G165" s="14">
        <f t="shared" si="13"/>
        <v>45578</v>
      </c>
      <c r="H165" s="15"/>
      <c r="I165" s="22">
        <v>45577</v>
      </c>
      <c r="J165" s="22"/>
      <c r="K165" s="19">
        <f t="shared" si="14"/>
        <v>1</v>
      </c>
      <c r="L165" s="22"/>
      <c r="M165" s="20">
        <f t="shared" si="10"/>
        <v>1</v>
      </c>
      <c r="N165" s="20"/>
      <c r="O165" s="21">
        <f t="shared" si="11"/>
        <v>0</v>
      </c>
    </row>
    <row r="166" spans="1:15" ht="30" customHeight="1">
      <c r="A166" s="10">
        <f t="shared" si="12"/>
        <v>163</v>
      </c>
      <c r="B166" s="11">
        <v>1001240605042</v>
      </c>
      <c r="C166" s="12" t="s">
        <v>873</v>
      </c>
      <c r="D166" s="11" t="s">
        <v>712</v>
      </c>
      <c r="E166" s="11">
        <v>1</v>
      </c>
      <c r="F166" s="13" t="s">
        <v>708</v>
      </c>
      <c r="G166" s="14">
        <f t="shared" si="13"/>
        <v>45578</v>
      </c>
      <c r="H166" s="15"/>
      <c r="I166" s="22">
        <v>45577</v>
      </c>
      <c r="J166" s="22"/>
      <c r="K166" s="19">
        <f t="shared" si="14"/>
        <v>1</v>
      </c>
      <c r="L166" s="22"/>
      <c r="M166" s="20">
        <f t="shared" si="10"/>
        <v>1</v>
      </c>
      <c r="N166" s="20"/>
      <c r="O166" s="21">
        <f t="shared" si="11"/>
        <v>0</v>
      </c>
    </row>
    <row r="167" spans="1:15" ht="30" customHeight="1">
      <c r="A167" s="10">
        <f t="shared" si="12"/>
        <v>164</v>
      </c>
      <c r="B167" s="11">
        <v>1004240605043</v>
      </c>
      <c r="C167" s="12" t="s">
        <v>874</v>
      </c>
      <c r="D167" s="11" t="s">
        <v>712</v>
      </c>
      <c r="E167" s="11">
        <v>1</v>
      </c>
      <c r="F167" s="13" t="s">
        <v>708</v>
      </c>
      <c r="G167" s="14">
        <f t="shared" si="13"/>
        <v>45578</v>
      </c>
      <c r="H167" s="15"/>
      <c r="I167" s="22">
        <v>45577</v>
      </c>
      <c r="J167" s="22"/>
      <c r="K167" s="19">
        <f t="shared" si="14"/>
        <v>1</v>
      </c>
      <c r="L167" s="22"/>
      <c r="M167" s="20">
        <f t="shared" si="10"/>
        <v>1</v>
      </c>
      <c r="N167" s="20"/>
      <c r="O167" s="21">
        <f t="shared" si="11"/>
        <v>0</v>
      </c>
    </row>
    <row r="168" spans="1:15" ht="30" customHeight="1">
      <c r="A168" s="10">
        <f t="shared" si="12"/>
        <v>165</v>
      </c>
      <c r="B168" s="11">
        <v>1001240605046</v>
      </c>
      <c r="C168" s="12" t="s">
        <v>875</v>
      </c>
      <c r="D168" s="11" t="s">
        <v>712</v>
      </c>
      <c r="E168" s="11">
        <v>1</v>
      </c>
      <c r="F168" s="13" t="s">
        <v>708</v>
      </c>
      <c r="G168" s="14">
        <f t="shared" si="13"/>
        <v>45566</v>
      </c>
      <c r="H168" s="15"/>
      <c r="I168" s="22">
        <v>45565</v>
      </c>
      <c r="J168" s="14"/>
      <c r="K168" s="19">
        <f t="shared" si="14"/>
        <v>1</v>
      </c>
      <c r="L168" s="22"/>
      <c r="M168" s="20">
        <f t="shared" si="10"/>
        <v>1</v>
      </c>
      <c r="N168" s="20"/>
      <c r="O168" s="21">
        <f t="shared" si="11"/>
        <v>0</v>
      </c>
    </row>
    <row r="169" spans="1:15" ht="30" customHeight="1">
      <c r="A169" s="10">
        <f t="shared" si="12"/>
        <v>166</v>
      </c>
      <c r="B169" s="11">
        <v>1003240605060</v>
      </c>
      <c r="C169" s="12" t="s">
        <v>876</v>
      </c>
      <c r="D169" s="11" t="s">
        <v>712</v>
      </c>
      <c r="E169" s="11">
        <v>1</v>
      </c>
      <c r="F169" s="13" t="s">
        <v>708</v>
      </c>
      <c r="G169" s="14">
        <f t="shared" si="13"/>
        <v>45566</v>
      </c>
      <c r="H169" s="15"/>
      <c r="I169" s="22">
        <v>45565</v>
      </c>
      <c r="J169" s="22"/>
      <c r="K169" s="19">
        <f t="shared" si="14"/>
        <v>1</v>
      </c>
      <c r="L169" s="22"/>
      <c r="M169" s="20">
        <f t="shared" si="10"/>
        <v>1</v>
      </c>
      <c r="N169" s="20"/>
      <c r="O169" s="21">
        <f t="shared" si="11"/>
        <v>0</v>
      </c>
    </row>
    <row r="170" spans="1:15" ht="30" customHeight="1">
      <c r="A170" s="10">
        <f t="shared" si="12"/>
        <v>167</v>
      </c>
      <c r="B170" s="11">
        <v>1004240605062</v>
      </c>
      <c r="C170" s="12" t="s">
        <v>877</v>
      </c>
      <c r="D170" s="11" t="s">
        <v>712</v>
      </c>
      <c r="E170" s="11">
        <v>1</v>
      </c>
      <c r="F170" s="13" t="s">
        <v>708</v>
      </c>
      <c r="G170" s="14">
        <f t="shared" si="13"/>
        <v>45566</v>
      </c>
      <c r="H170" s="15"/>
      <c r="I170" s="22">
        <v>45565</v>
      </c>
      <c r="J170" s="22"/>
      <c r="K170" s="19">
        <f t="shared" si="14"/>
        <v>1</v>
      </c>
      <c r="L170" s="22"/>
      <c r="M170" s="20">
        <f t="shared" si="10"/>
        <v>1</v>
      </c>
      <c r="N170" s="20"/>
      <c r="O170" s="21">
        <f t="shared" si="11"/>
        <v>0</v>
      </c>
    </row>
    <row r="171" spans="1:15" ht="30" customHeight="1">
      <c r="A171" s="10">
        <f t="shared" si="12"/>
        <v>168</v>
      </c>
      <c r="B171" s="11">
        <v>1003240605096</v>
      </c>
      <c r="C171" s="12" t="s">
        <v>878</v>
      </c>
      <c r="D171" s="11" t="s">
        <v>712</v>
      </c>
      <c r="E171" s="11">
        <v>1</v>
      </c>
      <c r="F171" s="13" t="s">
        <v>708</v>
      </c>
      <c r="G171" s="14">
        <f t="shared" si="13"/>
        <v>45576</v>
      </c>
      <c r="H171" s="15"/>
      <c r="I171" s="22">
        <v>45575</v>
      </c>
      <c r="J171" s="22"/>
      <c r="K171" s="19">
        <f t="shared" si="14"/>
        <v>1</v>
      </c>
      <c r="L171" s="22"/>
      <c r="M171" s="20">
        <f t="shared" si="10"/>
        <v>1</v>
      </c>
      <c r="N171" s="20"/>
      <c r="O171" s="21">
        <f t="shared" si="11"/>
        <v>0</v>
      </c>
    </row>
    <row r="172" spans="1:15" ht="30" customHeight="1">
      <c r="A172" s="10">
        <f t="shared" si="12"/>
        <v>169</v>
      </c>
      <c r="B172" s="11">
        <v>1009230906578</v>
      </c>
      <c r="C172" s="12" t="s">
        <v>879</v>
      </c>
      <c r="D172" s="11" t="s">
        <v>712</v>
      </c>
      <c r="E172" s="11">
        <v>1</v>
      </c>
      <c r="F172" s="13" t="s">
        <v>708</v>
      </c>
      <c r="G172" s="14">
        <f t="shared" si="13"/>
        <v>45576</v>
      </c>
      <c r="H172" s="15"/>
      <c r="I172" s="22">
        <v>45575</v>
      </c>
      <c r="J172" s="22"/>
      <c r="K172" s="19">
        <f t="shared" si="14"/>
        <v>1</v>
      </c>
      <c r="L172" s="22"/>
      <c r="M172" s="20">
        <f t="shared" si="10"/>
        <v>1</v>
      </c>
      <c r="N172" s="20"/>
      <c r="O172" s="21">
        <f t="shared" si="11"/>
        <v>0</v>
      </c>
    </row>
    <row r="173" spans="1:15" ht="30" customHeight="1">
      <c r="A173" s="10">
        <f t="shared" si="12"/>
        <v>170</v>
      </c>
      <c r="B173" s="11">
        <v>1004231211457</v>
      </c>
      <c r="C173" s="12" t="s">
        <v>880</v>
      </c>
      <c r="D173" s="11" t="s">
        <v>712</v>
      </c>
      <c r="E173" s="11">
        <v>1</v>
      </c>
      <c r="F173" s="13" t="s">
        <v>708</v>
      </c>
      <c r="G173" s="14">
        <f t="shared" si="13"/>
        <v>45576</v>
      </c>
      <c r="H173" s="15"/>
      <c r="I173" s="22">
        <v>45575</v>
      </c>
      <c r="J173" s="22"/>
      <c r="K173" s="19">
        <f t="shared" si="14"/>
        <v>1</v>
      </c>
      <c r="L173" s="22"/>
      <c r="M173" s="20">
        <f t="shared" si="10"/>
        <v>1</v>
      </c>
      <c r="N173" s="20"/>
      <c r="O173" s="21">
        <f t="shared" si="11"/>
        <v>0</v>
      </c>
    </row>
    <row r="174" spans="1:15" ht="30" customHeight="1">
      <c r="A174" s="10">
        <f t="shared" si="12"/>
        <v>171</v>
      </c>
      <c r="B174" s="11">
        <v>1004231008246</v>
      </c>
      <c r="C174" s="12" t="s">
        <v>881</v>
      </c>
      <c r="D174" s="11" t="s">
        <v>742</v>
      </c>
      <c r="E174" s="11">
        <v>20</v>
      </c>
      <c r="F174" s="13" t="s">
        <v>708</v>
      </c>
      <c r="G174" s="14">
        <f t="shared" si="13"/>
        <v>45576</v>
      </c>
      <c r="H174" s="15"/>
      <c r="I174" s="22">
        <v>45575</v>
      </c>
      <c r="J174" s="22"/>
      <c r="K174" s="19">
        <f t="shared" si="14"/>
        <v>1</v>
      </c>
      <c r="L174" s="22"/>
      <c r="M174" s="20">
        <f t="shared" si="10"/>
        <v>20</v>
      </c>
      <c r="N174" s="20"/>
      <c r="O174" s="21">
        <f t="shared" si="11"/>
        <v>0</v>
      </c>
    </row>
    <row r="175" spans="1:15" ht="30" customHeight="1">
      <c r="A175" s="10">
        <f t="shared" si="12"/>
        <v>172</v>
      </c>
      <c r="B175" s="11">
        <v>1009230906587</v>
      </c>
      <c r="C175" s="12" t="s">
        <v>882</v>
      </c>
      <c r="D175" s="11" t="s">
        <v>712</v>
      </c>
      <c r="E175" s="11">
        <v>1</v>
      </c>
      <c r="F175" s="13" t="s">
        <v>708</v>
      </c>
      <c r="G175" s="14">
        <f t="shared" si="13"/>
        <v>45576</v>
      </c>
      <c r="H175" s="15"/>
      <c r="I175" s="22">
        <v>45575</v>
      </c>
      <c r="J175" s="22"/>
      <c r="K175" s="19">
        <f t="shared" si="14"/>
        <v>1</v>
      </c>
      <c r="L175" s="22"/>
      <c r="M175" s="20">
        <f t="shared" si="10"/>
        <v>1</v>
      </c>
      <c r="N175" s="20"/>
      <c r="O175" s="21">
        <f t="shared" si="11"/>
        <v>0</v>
      </c>
    </row>
    <row r="176" spans="1:15" ht="30" customHeight="1">
      <c r="A176" s="10">
        <f t="shared" si="12"/>
        <v>173</v>
      </c>
      <c r="B176" s="11">
        <v>1009230805574</v>
      </c>
      <c r="C176" s="12" t="s">
        <v>883</v>
      </c>
      <c r="D176" s="11" t="s">
        <v>712</v>
      </c>
      <c r="E176" s="11">
        <v>1</v>
      </c>
      <c r="F176" s="13" t="s">
        <v>708</v>
      </c>
      <c r="G176" s="14">
        <f t="shared" si="13"/>
        <v>45576</v>
      </c>
      <c r="H176" s="15"/>
      <c r="I176" s="22">
        <v>45575</v>
      </c>
      <c r="J176" s="22"/>
      <c r="K176" s="19">
        <f t="shared" si="14"/>
        <v>1</v>
      </c>
      <c r="L176" s="22"/>
      <c r="M176" s="20">
        <f t="shared" si="10"/>
        <v>1</v>
      </c>
      <c r="N176" s="20"/>
      <c r="O176" s="21">
        <f t="shared" si="11"/>
        <v>0</v>
      </c>
    </row>
    <row r="177" spans="1:15" ht="30" customHeight="1">
      <c r="A177" s="10">
        <f t="shared" si="12"/>
        <v>174</v>
      </c>
      <c r="B177" s="11">
        <v>1007231110129</v>
      </c>
      <c r="C177" s="12" t="s">
        <v>884</v>
      </c>
      <c r="D177" s="11" t="s">
        <v>742</v>
      </c>
      <c r="E177" s="11">
        <v>22</v>
      </c>
      <c r="F177" s="13" t="s">
        <v>708</v>
      </c>
      <c r="G177" s="14">
        <f t="shared" si="13"/>
        <v>45589</v>
      </c>
      <c r="H177" s="15"/>
      <c r="I177" s="22">
        <v>45588</v>
      </c>
      <c r="J177" s="22"/>
      <c r="K177" s="19">
        <f t="shared" si="14"/>
        <v>1</v>
      </c>
      <c r="L177" s="22"/>
      <c r="M177" s="20">
        <f t="shared" si="10"/>
        <v>22</v>
      </c>
      <c r="N177" s="20"/>
      <c r="O177" s="21">
        <f t="shared" si="11"/>
        <v>0</v>
      </c>
    </row>
    <row r="178" spans="1:15" ht="30" customHeight="1">
      <c r="A178" s="10">
        <f t="shared" si="12"/>
        <v>175</v>
      </c>
      <c r="B178" s="11">
        <v>1007231110068</v>
      </c>
      <c r="C178" s="12" t="s">
        <v>885</v>
      </c>
      <c r="D178" s="11" t="s">
        <v>742</v>
      </c>
      <c r="E178" s="11">
        <v>148</v>
      </c>
      <c r="F178" s="13" t="s">
        <v>708</v>
      </c>
      <c r="G178" s="14">
        <f t="shared" si="13"/>
        <v>45585</v>
      </c>
      <c r="H178" s="15"/>
      <c r="I178" s="22">
        <v>45584</v>
      </c>
      <c r="J178" s="14"/>
      <c r="K178" s="19">
        <f t="shared" si="14"/>
        <v>1</v>
      </c>
      <c r="L178" s="22"/>
      <c r="M178" s="20">
        <f t="shared" si="10"/>
        <v>148</v>
      </c>
      <c r="N178" s="20"/>
      <c r="O178" s="21">
        <f t="shared" si="11"/>
        <v>0</v>
      </c>
    </row>
    <row r="179" spans="1:15" ht="30" customHeight="1">
      <c r="A179" s="10">
        <f t="shared" si="12"/>
        <v>176</v>
      </c>
      <c r="B179" s="11">
        <v>1007231110122</v>
      </c>
      <c r="C179" s="12" t="s">
        <v>886</v>
      </c>
      <c r="D179" s="11" t="s">
        <v>742</v>
      </c>
      <c r="E179" s="11">
        <v>37.89</v>
      </c>
      <c r="F179" s="13" t="s">
        <v>708</v>
      </c>
      <c r="G179" s="14">
        <f t="shared" si="13"/>
        <v>45566</v>
      </c>
      <c r="H179" s="15"/>
      <c r="I179" s="22">
        <v>45565</v>
      </c>
      <c r="J179" s="14"/>
      <c r="K179" s="19">
        <f t="shared" si="14"/>
        <v>1</v>
      </c>
      <c r="L179" s="22"/>
      <c r="M179" s="20">
        <f t="shared" si="10"/>
        <v>37.89</v>
      </c>
      <c r="N179" s="20"/>
      <c r="O179" s="21">
        <f t="shared" si="11"/>
        <v>0</v>
      </c>
    </row>
    <row r="180" spans="1:15" ht="30" customHeight="1">
      <c r="A180" s="10">
        <f t="shared" si="12"/>
        <v>177</v>
      </c>
      <c r="B180" s="11">
        <v>1007231110132</v>
      </c>
      <c r="C180" s="12" t="s">
        <v>887</v>
      </c>
      <c r="D180" s="11" t="s">
        <v>766</v>
      </c>
      <c r="E180" s="11">
        <v>12</v>
      </c>
      <c r="F180" s="13" t="s">
        <v>708</v>
      </c>
      <c r="G180" s="14">
        <f t="shared" si="13"/>
        <v>45570</v>
      </c>
      <c r="H180" s="15"/>
      <c r="I180" s="22">
        <v>45569</v>
      </c>
      <c r="J180" s="14"/>
      <c r="K180" s="19">
        <f t="shared" si="14"/>
        <v>1</v>
      </c>
      <c r="L180" s="22"/>
      <c r="M180" s="20">
        <f t="shared" si="10"/>
        <v>12</v>
      </c>
      <c r="N180" s="20"/>
      <c r="O180" s="21">
        <f t="shared" si="11"/>
        <v>0</v>
      </c>
    </row>
    <row r="181" spans="1:15" ht="30" customHeight="1">
      <c r="A181" s="10">
        <f t="shared" si="12"/>
        <v>178</v>
      </c>
      <c r="B181" s="11">
        <v>1006240201025</v>
      </c>
      <c r="C181" s="12" t="s">
        <v>888</v>
      </c>
      <c r="D181" s="11" t="s">
        <v>712</v>
      </c>
      <c r="E181" s="11">
        <v>1</v>
      </c>
      <c r="F181" s="13" t="s">
        <v>708</v>
      </c>
      <c r="G181" s="14">
        <f t="shared" si="13"/>
        <v>45582</v>
      </c>
      <c r="H181" s="15"/>
      <c r="I181" s="22">
        <v>45581</v>
      </c>
      <c r="J181" s="14"/>
      <c r="K181" s="19">
        <f t="shared" si="14"/>
        <v>1</v>
      </c>
      <c r="L181" s="22"/>
      <c r="M181" s="20">
        <f t="shared" si="10"/>
        <v>1</v>
      </c>
      <c r="N181" s="20"/>
      <c r="O181" s="21">
        <f t="shared" si="11"/>
        <v>0</v>
      </c>
    </row>
    <row r="182" spans="1:15" ht="30" customHeight="1">
      <c r="A182" s="10">
        <f t="shared" si="12"/>
        <v>179</v>
      </c>
      <c r="B182" s="11">
        <v>1004231009013</v>
      </c>
      <c r="C182" s="12" t="s">
        <v>889</v>
      </c>
      <c r="D182" s="11" t="s">
        <v>712</v>
      </c>
      <c r="E182" s="11">
        <v>1</v>
      </c>
      <c r="F182" s="13" t="s">
        <v>708</v>
      </c>
      <c r="G182" s="14">
        <f t="shared" si="13"/>
        <v>45585</v>
      </c>
      <c r="H182" s="15"/>
      <c r="I182" s="22">
        <v>45584</v>
      </c>
      <c r="J182" s="22"/>
      <c r="K182" s="19">
        <f t="shared" si="14"/>
        <v>1</v>
      </c>
      <c r="L182" s="22"/>
      <c r="M182" s="20">
        <f t="shared" si="10"/>
        <v>1</v>
      </c>
      <c r="N182" s="20"/>
      <c r="O182" s="21">
        <f t="shared" si="11"/>
        <v>0</v>
      </c>
    </row>
    <row r="183" spans="1:15" ht="30" customHeight="1">
      <c r="A183" s="10">
        <f t="shared" si="12"/>
        <v>180</v>
      </c>
      <c r="B183" s="11">
        <v>1004240604754</v>
      </c>
      <c r="C183" s="12" t="s">
        <v>890</v>
      </c>
      <c r="D183" s="11" t="s">
        <v>712</v>
      </c>
      <c r="E183" s="11">
        <v>1</v>
      </c>
      <c r="F183" s="13" t="s">
        <v>708</v>
      </c>
      <c r="G183" s="14">
        <f t="shared" si="13"/>
        <v>45566</v>
      </c>
      <c r="H183" s="15"/>
      <c r="I183" s="22">
        <v>45565</v>
      </c>
      <c r="J183" s="22"/>
      <c r="K183" s="19">
        <f t="shared" si="14"/>
        <v>1</v>
      </c>
      <c r="L183" s="22"/>
      <c r="M183" s="20">
        <f t="shared" si="10"/>
        <v>1</v>
      </c>
      <c r="N183" s="20"/>
      <c r="O183" s="21">
        <f t="shared" si="11"/>
        <v>0</v>
      </c>
    </row>
    <row r="184" spans="1:15" ht="30" customHeight="1">
      <c r="A184" s="10">
        <f t="shared" si="12"/>
        <v>181</v>
      </c>
      <c r="B184" s="11">
        <v>1002240808970</v>
      </c>
      <c r="C184" s="12" t="s">
        <v>891</v>
      </c>
      <c r="D184" s="11" t="s">
        <v>712</v>
      </c>
      <c r="E184" s="11">
        <v>1</v>
      </c>
      <c r="F184" s="13" t="s">
        <v>708</v>
      </c>
      <c r="G184" s="14">
        <f t="shared" si="13"/>
        <v>45585</v>
      </c>
      <c r="H184" s="15"/>
      <c r="I184" s="22">
        <v>45584</v>
      </c>
      <c r="J184" s="22"/>
      <c r="K184" s="19">
        <f t="shared" si="14"/>
        <v>1</v>
      </c>
      <c r="L184" s="22"/>
      <c r="M184" s="20">
        <f t="shared" si="10"/>
        <v>1</v>
      </c>
      <c r="N184" s="20"/>
      <c r="O184" s="21">
        <f t="shared" si="11"/>
        <v>0</v>
      </c>
    </row>
    <row r="185" spans="1:15" ht="30" customHeight="1">
      <c r="A185" s="10">
        <f t="shared" si="12"/>
        <v>182</v>
      </c>
      <c r="B185" s="11">
        <v>1002240809550</v>
      </c>
      <c r="C185" s="12" t="s">
        <v>892</v>
      </c>
      <c r="D185" s="11" t="s">
        <v>893</v>
      </c>
      <c r="E185" s="11">
        <v>1</v>
      </c>
      <c r="F185" s="13" t="s">
        <v>708</v>
      </c>
      <c r="G185" s="14">
        <f t="shared" si="13"/>
        <v>45566</v>
      </c>
      <c r="H185" s="15"/>
      <c r="I185" s="22">
        <v>45565</v>
      </c>
      <c r="J185" s="22"/>
      <c r="K185" s="19">
        <f t="shared" si="14"/>
        <v>1</v>
      </c>
      <c r="L185" s="22"/>
      <c r="M185" s="20">
        <f t="shared" si="10"/>
        <v>1</v>
      </c>
      <c r="N185" s="20"/>
      <c r="O185" s="21">
        <f t="shared" si="11"/>
        <v>0</v>
      </c>
    </row>
    <row r="186" spans="1:15" ht="30" customHeight="1">
      <c r="A186" s="10">
        <f t="shared" si="12"/>
        <v>183</v>
      </c>
      <c r="B186" s="11">
        <v>1002230100023</v>
      </c>
      <c r="C186" s="12" t="s">
        <v>894</v>
      </c>
      <c r="D186" s="11" t="s">
        <v>712</v>
      </c>
      <c r="E186" s="11">
        <v>1</v>
      </c>
      <c r="F186" s="13" t="s">
        <v>708</v>
      </c>
      <c r="G186" s="14">
        <f t="shared" si="13"/>
        <v>45576</v>
      </c>
      <c r="H186" s="15"/>
      <c r="I186" s="22">
        <v>45575</v>
      </c>
      <c r="J186" s="22"/>
      <c r="K186" s="19">
        <f t="shared" si="14"/>
        <v>1</v>
      </c>
      <c r="L186" s="22"/>
      <c r="M186" s="20">
        <f t="shared" si="10"/>
        <v>1</v>
      </c>
      <c r="N186" s="20"/>
      <c r="O186" s="21">
        <f t="shared" si="11"/>
        <v>0</v>
      </c>
    </row>
    <row r="187" spans="1:15" ht="30" customHeight="1">
      <c r="A187" s="10">
        <f t="shared" si="12"/>
        <v>184</v>
      </c>
      <c r="B187" s="11">
        <v>1006240809559</v>
      </c>
      <c r="C187" s="12" t="s">
        <v>895</v>
      </c>
      <c r="D187" s="11" t="s">
        <v>712</v>
      </c>
      <c r="E187" s="11">
        <v>2</v>
      </c>
      <c r="F187" s="13" t="s">
        <v>708</v>
      </c>
      <c r="G187" s="14">
        <f t="shared" si="13"/>
        <v>45570</v>
      </c>
      <c r="H187" s="15"/>
      <c r="I187" s="22">
        <v>45569</v>
      </c>
      <c r="J187" s="22"/>
      <c r="K187" s="19">
        <f t="shared" si="14"/>
        <v>1</v>
      </c>
      <c r="L187" s="22"/>
      <c r="M187" s="20">
        <f t="shared" si="10"/>
        <v>2</v>
      </c>
      <c r="N187" s="20"/>
      <c r="O187" s="21">
        <f t="shared" si="11"/>
        <v>0</v>
      </c>
    </row>
    <row r="188" spans="1:15" ht="30" customHeight="1">
      <c r="A188" s="10">
        <f t="shared" si="12"/>
        <v>185</v>
      </c>
      <c r="B188" s="11">
        <v>1006240809560</v>
      </c>
      <c r="C188" s="12" t="s">
        <v>896</v>
      </c>
      <c r="D188" s="11" t="s">
        <v>712</v>
      </c>
      <c r="E188" s="11">
        <v>2</v>
      </c>
      <c r="F188" s="13" t="s">
        <v>708</v>
      </c>
      <c r="G188" s="14">
        <f t="shared" si="13"/>
        <v>45576</v>
      </c>
      <c r="H188" s="15"/>
      <c r="I188" s="22">
        <v>45575</v>
      </c>
      <c r="J188" s="22"/>
      <c r="K188" s="19">
        <f t="shared" si="14"/>
        <v>1</v>
      </c>
      <c r="L188" s="22"/>
      <c r="M188" s="20">
        <f t="shared" si="10"/>
        <v>2</v>
      </c>
      <c r="N188" s="20"/>
      <c r="O188" s="21">
        <f t="shared" si="11"/>
        <v>0</v>
      </c>
    </row>
    <row r="189" spans="1:15" ht="30" customHeight="1">
      <c r="A189" s="10">
        <f t="shared" si="12"/>
        <v>186</v>
      </c>
      <c r="B189" s="11">
        <v>1006240706709</v>
      </c>
      <c r="C189" s="12" t="s">
        <v>897</v>
      </c>
      <c r="D189" s="11" t="s">
        <v>707</v>
      </c>
      <c r="E189" s="11">
        <v>2</v>
      </c>
      <c r="F189" s="13" t="s">
        <v>708</v>
      </c>
      <c r="G189" s="14">
        <f t="shared" si="13"/>
        <v>45576</v>
      </c>
      <c r="H189" s="15"/>
      <c r="I189" s="22">
        <v>45575</v>
      </c>
      <c r="J189" s="22"/>
      <c r="K189" s="19">
        <f t="shared" si="14"/>
        <v>1</v>
      </c>
      <c r="L189" s="22"/>
      <c r="M189" s="20">
        <f t="shared" si="10"/>
        <v>2</v>
      </c>
      <c r="N189" s="20"/>
      <c r="O189" s="21">
        <f t="shared" si="11"/>
        <v>0</v>
      </c>
    </row>
    <row r="190" spans="1:15" ht="30" customHeight="1">
      <c r="A190" s="10">
        <f t="shared" si="12"/>
        <v>187</v>
      </c>
      <c r="B190" s="11">
        <v>1003221012369</v>
      </c>
      <c r="C190" s="12" t="s">
        <v>898</v>
      </c>
      <c r="D190" s="11" t="s">
        <v>712</v>
      </c>
      <c r="E190" s="11">
        <v>8</v>
      </c>
      <c r="F190" s="13" t="s">
        <v>708</v>
      </c>
      <c r="G190" s="14">
        <f t="shared" si="13"/>
        <v>45576</v>
      </c>
      <c r="H190" s="15"/>
      <c r="I190" s="22">
        <v>45575</v>
      </c>
      <c r="J190" s="22"/>
      <c r="K190" s="19">
        <f t="shared" si="14"/>
        <v>1</v>
      </c>
      <c r="L190" s="22"/>
      <c r="M190" s="20">
        <f t="shared" si="10"/>
        <v>8</v>
      </c>
      <c r="N190" s="20"/>
      <c r="O190" s="21">
        <f t="shared" si="11"/>
        <v>0</v>
      </c>
    </row>
    <row r="191" spans="1:15" ht="30" customHeight="1">
      <c r="A191" s="10">
        <f t="shared" si="12"/>
        <v>188</v>
      </c>
      <c r="B191" s="11">
        <v>1003221215294</v>
      </c>
      <c r="C191" s="12" t="s">
        <v>899</v>
      </c>
      <c r="D191" s="11" t="s">
        <v>712</v>
      </c>
      <c r="E191" s="11">
        <v>2</v>
      </c>
      <c r="F191" s="13" t="s">
        <v>708</v>
      </c>
      <c r="G191" s="14">
        <f t="shared" si="13"/>
        <v>45576</v>
      </c>
      <c r="H191" s="15"/>
      <c r="I191" s="22">
        <v>45575</v>
      </c>
      <c r="J191" s="22"/>
      <c r="K191" s="19">
        <f t="shared" si="14"/>
        <v>1</v>
      </c>
      <c r="L191" s="22"/>
      <c r="M191" s="20">
        <f t="shared" si="10"/>
        <v>2</v>
      </c>
      <c r="N191" s="20"/>
      <c r="O191" s="21">
        <f t="shared" si="11"/>
        <v>0</v>
      </c>
    </row>
    <row r="192" spans="1:15" ht="30" customHeight="1">
      <c r="A192" s="10">
        <f t="shared" si="12"/>
        <v>189</v>
      </c>
      <c r="B192" s="11">
        <v>1003221215319</v>
      </c>
      <c r="C192" s="12" t="s">
        <v>900</v>
      </c>
      <c r="D192" s="11" t="s">
        <v>712</v>
      </c>
      <c r="E192" s="11">
        <v>2</v>
      </c>
      <c r="F192" s="13" t="s">
        <v>708</v>
      </c>
      <c r="G192" s="14">
        <f t="shared" si="13"/>
        <v>45581</v>
      </c>
      <c r="H192" s="15"/>
      <c r="I192" s="22">
        <v>45580</v>
      </c>
      <c r="J192" s="14"/>
      <c r="K192" s="19">
        <f t="shared" si="14"/>
        <v>1</v>
      </c>
      <c r="L192" s="22"/>
      <c r="M192" s="20">
        <f t="shared" si="10"/>
        <v>2</v>
      </c>
      <c r="N192" s="20"/>
      <c r="O192" s="21">
        <f t="shared" si="11"/>
        <v>0</v>
      </c>
    </row>
    <row r="193" spans="1:15" ht="30" customHeight="1">
      <c r="A193" s="10">
        <f t="shared" si="12"/>
        <v>190</v>
      </c>
      <c r="B193" s="11">
        <v>1003221012378</v>
      </c>
      <c r="C193" s="12" t="s">
        <v>901</v>
      </c>
      <c r="D193" s="11" t="s">
        <v>712</v>
      </c>
      <c r="E193" s="11">
        <v>8</v>
      </c>
      <c r="F193" s="13" t="s">
        <v>708</v>
      </c>
      <c r="G193" s="14">
        <f t="shared" si="13"/>
        <v>45566</v>
      </c>
      <c r="H193" s="15"/>
      <c r="I193" s="22">
        <v>45565</v>
      </c>
      <c r="J193" s="14"/>
      <c r="K193" s="19">
        <f t="shared" si="14"/>
        <v>1</v>
      </c>
      <c r="L193" s="22"/>
      <c r="M193" s="20">
        <f t="shared" si="10"/>
        <v>8</v>
      </c>
      <c r="N193" s="20"/>
      <c r="O193" s="21">
        <f t="shared" si="11"/>
        <v>0</v>
      </c>
    </row>
    <row r="194" spans="1:15" ht="30" customHeight="1">
      <c r="A194" s="10">
        <f t="shared" si="12"/>
        <v>191</v>
      </c>
      <c r="B194" s="11">
        <v>1001221215473</v>
      </c>
      <c r="C194" s="12" t="s">
        <v>902</v>
      </c>
      <c r="D194" s="11" t="s">
        <v>707</v>
      </c>
      <c r="E194" s="11">
        <v>2</v>
      </c>
      <c r="F194" s="13" t="s">
        <v>708</v>
      </c>
      <c r="G194" s="14">
        <f t="shared" si="13"/>
        <v>45566</v>
      </c>
      <c r="H194" s="15"/>
      <c r="I194" s="22">
        <v>45565</v>
      </c>
      <c r="J194" s="14"/>
      <c r="K194" s="19">
        <f t="shared" si="14"/>
        <v>1</v>
      </c>
      <c r="L194" s="22"/>
      <c r="M194" s="20">
        <f t="shared" si="10"/>
        <v>2</v>
      </c>
      <c r="N194" s="20"/>
      <c r="O194" s="21">
        <f t="shared" si="11"/>
        <v>0</v>
      </c>
    </row>
    <row r="195" spans="1:15" ht="30" customHeight="1">
      <c r="A195" s="10">
        <f t="shared" si="12"/>
        <v>192</v>
      </c>
      <c r="B195" s="11">
        <v>1004240605709</v>
      </c>
      <c r="C195" s="12" t="s">
        <v>903</v>
      </c>
      <c r="D195" s="11" t="s">
        <v>707</v>
      </c>
      <c r="E195" s="11">
        <v>11</v>
      </c>
      <c r="F195" s="13" t="s">
        <v>708</v>
      </c>
      <c r="G195" s="14">
        <f t="shared" si="13"/>
        <v>45566</v>
      </c>
      <c r="H195" s="15"/>
      <c r="I195" s="22">
        <v>45565</v>
      </c>
      <c r="J195" s="14"/>
      <c r="K195" s="19">
        <f t="shared" si="14"/>
        <v>1</v>
      </c>
      <c r="L195" s="22"/>
      <c r="M195" s="20">
        <f t="shared" si="10"/>
        <v>11</v>
      </c>
      <c r="N195" s="20"/>
      <c r="O195" s="21">
        <f t="shared" si="11"/>
        <v>0</v>
      </c>
    </row>
    <row r="196" spans="1:15" ht="30" customHeight="1">
      <c r="A196" s="10">
        <f t="shared" si="12"/>
        <v>193</v>
      </c>
      <c r="B196" s="11">
        <v>1004240706857</v>
      </c>
      <c r="C196" s="12" t="s">
        <v>904</v>
      </c>
      <c r="D196" s="11" t="s">
        <v>712</v>
      </c>
      <c r="E196" s="11">
        <v>1</v>
      </c>
      <c r="F196" s="13" t="s">
        <v>708</v>
      </c>
      <c r="G196" s="14">
        <f t="shared" si="13"/>
        <v>45576</v>
      </c>
      <c r="H196" s="15"/>
      <c r="I196" s="22">
        <v>45575</v>
      </c>
      <c r="J196" s="14"/>
      <c r="K196" s="19">
        <f t="shared" si="14"/>
        <v>1</v>
      </c>
      <c r="L196" s="22"/>
      <c r="M196" s="20">
        <f t="shared" si="10"/>
        <v>1</v>
      </c>
      <c r="N196" s="20"/>
      <c r="O196" s="21">
        <f t="shared" si="11"/>
        <v>0</v>
      </c>
    </row>
    <row r="197" spans="1:15" ht="30" customHeight="1">
      <c r="A197" s="10">
        <f t="shared" si="12"/>
        <v>194</v>
      </c>
      <c r="B197" s="11">
        <v>1004240706864</v>
      </c>
      <c r="C197" s="12" t="s">
        <v>905</v>
      </c>
      <c r="D197" s="11" t="s">
        <v>712</v>
      </c>
      <c r="E197" s="11">
        <v>1</v>
      </c>
      <c r="F197" s="13" t="s">
        <v>708</v>
      </c>
      <c r="G197" s="14">
        <f t="shared" si="13"/>
        <v>45576</v>
      </c>
      <c r="H197" s="15"/>
      <c r="I197" s="22">
        <v>45575</v>
      </c>
      <c r="J197" s="14"/>
      <c r="K197" s="19">
        <f t="shared" si="14"/>
        <v>1</v>
      </c>
      <c r="L197" s="22"/>
      <c r="M197" s="20">
        <f t="shared" ref="M197:M200" si="15">+E197</f>
        <v>1</v>
      </c>
      <c r="N197" s="20"/>
      <c r="O197" s="21">
        <f t="shared" ref="O197:O200" si="16">IFERROR(N197/M197,"")</f>
        <v>0</v>
      </c>
    </row>
    <row r="198" spans="1:15" ht="30" customHeight="1">
      <c r="A198" s="10">
        <f t="shared" ref="A198:A200" si="17">+A197+1</f>
        <v>195</v>
      </c>
      <c r="B198" s="11">
        <v>1004240809517</v>
      </c>
      <c r="C198" s="12" t="s">
        <v>906</v>
      </c>
      <c r="D198" s="11" t="s">
        <v>707</v>
      </c>
      <c r="E198" s="11">
        <v>1</v>
      </c>
      <c r="F198" s="13" t="s">
        <v>708</v>
      </c>
      <c r="G198" s="14">
        <f t="shared" ref="G198:G200" si="18">+I198-H198+1</f>
        <v>45576</v>
      </c>
      <c r="H198" s="15"/>
      <c r="I198" s="22">
        <v>45575</v>
      </c>
      <c r="J198" s="14"/>
      <c r="K198" s="19">
        <f t="shared" ref="K198:K200" si="19">+L198-J198+1</f>
        <v>1</v>
      </c>
      <c r="L198" s="22"/>
      <c r="M198" s="20">
        <f t="shared" si="15"/>
        <v>1</v>
      </c>
      <c r="N198" s="20"/>
      <c r="O198" s="21">
        <f t="shared" si="16"/>
        <v>0</v>
      </c>
    </row>
    <row r="199" spans="1:15" ht="30" customHeight="1">
      <c r="A199" s="10">
        <f t="shared" si="17"/>
        <v>196</v>
      </c>
      <c r="B199" s="11">
        <v>1003221215331</v>
      </c>
      <c r="C199" s="12" t="s">
        <v>907</v>
      </c>
      <c r="D199" s="11" t="s">
        <v>712</v>
      </c>
      <c r="E199" s="11">
        <v>1</v>
      </c>
      <c r="F199" s="13" t="s">
        <v>708</v>
      </c>
      <c r="G199" s="14">
        <f t="shared" si="18"/>
        <v>45576</v>
      </c>
      <c r="H199" s="15"/>
      <c r="I199" s="22">
        <v>45575</v>
      </c>
      <c r="J199" s="14"/>
      <c r="K199" s="19">
        <f t="shared" si="19"/>
        <v>1</v>
      </c>
      <c r="L199" s="22"/>
      <c r="M199" s="20">
        <f t="shared" si="15"/>
        <v>1</v>
      </c>
      <c r="N199" s="20"/>
      <c r="O199" s="21">
        <f t="shared" si="16"/>
        <v>0</v>
      </c>
    </row>
    <row r="200" spans="1:15" ht="30" customHeight="1">
      <c r="A200" s="10">
        <f t="shared" si="17"/>
        <v>197</v>
      </c>
      <c r="B200" s="11">
        <v>1003221012435</v>
      </c>
      <c r="C200" s="12" t="s">
        <v>908</v>
      </c>
      <c r="D200" s="11" t="s">
        <v>712</v>
      </c>
      <c r="E200" s="11">
        <v>2</v>
      </c>
      <c r="F200" s="13" t="s">
        <v>708</v>
      </c>
      <c r="G200" s="14">
        <f t="shared" si="18"/>
        <v>45576</v>
      </c>
      <c r="H200" s="15"/>
      <c r="I200" s="22">
        <v>45575</v>
      </c>
      <c r="J200" s="14"/>
      <c r="K200" s="19">
        <f t="shared" si="19"/>
        <v>1</v>
      </c>
      <c r="L200" s="22"/>
      <c r="M200" s="20">
        <f t="shared" si="15"/>
        <v>2</v>
      </c>
      <c r="N200" s="20"/>
      <c r="O200" s="21">
        <f t="shared" si="16"/>
        <v>0</v>
      </c>
    </row>
  </sheetData>
  <mergeCells count="8">
    <mergeCell ref="AQ2:AU2"/>
    <mergeCell ref="S2:U2"/>
    <mergeCell ref="X2:AB2"/>
    <mergeCell ref="F1:O1"/>
    <mergeCell ref="G2:I2"/>
    <mergeCell ref="J2:L2"/>
    <mergeCell ref="AD2:AG2"/>
    <mergeCell ref="AK2:AN2"/>
  </mergeCells>
  <conditionalFormatting sqref="B1:B1048576">
    <cfRule type="duplicateValues" dxfId="10" priority="1"/>
  </conditionalFormatting>
  <conditionalFormatting sqref="I30:J30 L30 N30 P30:BW30">
    <cfRule type="expression" dxfId="9" priority="3">
      <formula>TRUE</formula>
    </cfRule>
  </conditionalFormatting>
  <conditionalFormatting sqref="P4:DG200">
    <cfRule type="expression" dxfId="8" priority="2">
      <formula>PercentComplete</formula>
    </cfRule>
    <cfRule type="expression" dxfId="7" priority="4">
      <formula>PercentCompleteBeyond</formula>
    </cfRule>
    <cfRule type="expression" dxfId="6" priority="5">
      <formula>Actual</formula>
    </cfRule>
    <cfRule type="expression" dxfId="5" priority="6">
      <formula>ActualBeyond</formula>
    </cfRule>
    <cfRule type="expression" dxfId="4" priority="7">
      <formula>Plan</formula>
    </cfRule>
    <cfRule type="expression" dxfId="3" priority="8">
      <formula>#REF!=period_selected</formula>
    </cfRule>
    <cfRule type="expression" dxfId="2" priority="10">
      <formula>MOD(COLUMN(),2)</formula>
    </cfRule>
    <cfRule type="expression" dxfId="1" priority="11">
      <formula>MOD(COLUMN(),2)=0</formula>
    </cfRule>
  </conditionalFormatting>
  <dataValidations disablePrompts="1" count="13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E1" xr:uid="{00000000-0002-0000-0B00-000000000000}"/>
    <dataValidation allowBlank="1" showInputMessage="1" showErrorMessage="1" prompt="Title of the project. Enter a new title in this cell. Highlight a period in H2. Chart legend is in J2 to AI2" sqref="F1" xr:uid="{00000000-0002-0000-0B00-000001000000}"/>
    <dataValidation allowBlank="1" showInputMessage="1" showErrorMessage="1" prompt="Select a period to highlight in H2. A Chart legend is in J2 to AI2" sqref="F2:G2 J2" xr:uid="{00000000-0002-0000-0B00-000002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P2" xr:uid="{00000000-0002-0000-0B00-000003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R2" xr:uid="{00000000-0002-0000-0B00-000004000000}"/>
    <dataValidation allowBlank="1" showInputMessage="1" showErrorMessage="1" prompt="This legend cell indicates actual duration" sqref="W2" xr:uid="{00000000-0002-0000-0B00-000005000000}"/>
    <dataValidation allowBlank="1" showInputMessage="1" showErrorMessage="1" prompt="This legend cell indicates the percentage of project completed" sqref="AC2" xr:uid="{00000000-0002-0000-0B00-000006000000}"/>
    <dataValidation allowBlank="1" showInputMessage="1" showErrorMessage="1" prompt="This legend cell indicates actual duration beyond plan" sqref="AH2:AJ2" xr:uid="{00000000-0002-0000-0B00-000007000000}"/>
    <dataValidation allowBlank="1" showInputMessage="1" showErrorMessage="1" prompt="This legend cell indicates the percentage of project completed beyond plan" sqref="AP2" xr:uid="{00000000-0002-0000-0B00-000008000000}"/>
    <dataValidation allowBlank="1" showInputMessage="1" showErrorMessage="1" prompt="Enter plan duration period in column D, starting with cell D5" sqref="I3 L3:N3 H3 K3" xr:uid="{00000000-0002-0000-0B00-000009000000}"/>
    <dataValidation allowBlank="1" showInputMessage="1" showErrorMessage="1" prompt="Enter activity in column B, starting with cell B5_x000a_" sqref="F3" xr:uid="{00000000-0002-0000-0B00-00000B000000}"/>
    <dataValidation allowBlank="1" showInputMessage="1" showErrorMessage="1" prompt="Enter plan start period in column C, starting with cell C5" sqref="G3 J3" xr:uid="{00000000-0002-0000-0B00-00000C000000}"/>
    <dataValidation allowBlank="1" showInputMessage="1" showErrorMessage="1" prompt="Enter the percentage of project completed in column G, starting with cell G5" sqref="O3" xr:uid="{00000000-0002-0000-0B00-00000D000000}"/>
  </dataValidations>
  <printOptions horizontalCentered="1"/>
  <pageMargins left="0.45" right="0.45" top="0.5" bottom="0.5" header="0.3" footer="0.3"/>
  <pageSetup scale="51" fitToHeight="0" orientation="landscape"/>
  <headerFooter differentFirst="1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LOẠI ĐÁ</vt:lpstr>
      <vt:lpstr>NĂNG SUẤT</vt:lpstr>
      <vt:lpstr>MASTER PLAN</vt:lpstr>
      <vt:lpstr>BUILD APPSHEET</vt:lpstr>
      <vt:lpstr>QUY TRÌNH</vt:lpstr>
      <vt:lpstr>LIST MÁY </vt:lpstr>
      <vt:lpstr>CÔNG NĂNG MÁY</vt:lpstr>
      <vt:lpstr>DAO CỤ CẮT GỌT</vt:lpstr>
      <vt:lpstr>ĐỊNH BIÊN CCDC</vt:lpstr>
      <vt:lpstr>CHI PHÍ CẢI TIẾN</vt:lpstr>
      <vt:lpstr>KẾ HOẠCH SẢN XUẤT</vt:lpstr>
      <vt:lpstr>'KẾ HOẠCH SẢN XUẤT'!period_selected</vt:lpstr>
      <vt:lpstr>'KẾ HOẠCH SẢN XUẤT'!Print_Titles</vt:lpstr>
      <vt:lpstr>'LIST MÁY '!Print_Titles</vt:lpstr>
      <vt:lpstr>'KẾ HOẠCH SẢN XUẤT'!TitleRegion..BO60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Thanh Bao De</dc:creator>
  <cp:lastModifiedBy>Nguyen Huy Binh</cp:lastModifiedBy>
  <dcterms:created xsi:type="dcterms:W3CDTF">2024-09-26T05:42:00Z</dcterms:created>
  <dcterms:modified xsi:type="dcterms:W3CDTF">2026-02-10T14:27:07Z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029164F276D2426BB1C25D62EAF19980_12</vt:lpwstr>
  </property>
  <property fmtid="{D5CDD505-2E9C-101B-9397-08002B2CF9AE}" pid="3" name="KSOProductBuildVer">
    <vt:lpwstr>1033-12.2.0.23155</vt:lpwstr>
  </property>
</Properties>
</file>